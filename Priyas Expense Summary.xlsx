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adhu\Downloads\"/>
    </mc:Choice>
  </mc:AlternateContent>
  <xr:revisionPtr revIDLastSave="0" documentId="13_ncr:1_{83FCE9F0-C9B0-4A1C-8351-0442F75E7A18}" xr6:coauthVersionLast="47" xr6:coauthVersionMax="47" xr10:uidLastSave="{00000000-0000-0000-0000-000000000000}"/>
  <bookViews>
    <workbookView xWindow="-110" yWindow="-110" windowWidth="19420" windowHeight="10300" activeTab="3" xr2:uid="{00000000-000D-0000-FFFF-FFFF00000000}"/>
  </bookViews>
  <sheets>
    <sheet name="Expense" sheetId="1" r:id="rId1"/>
    <sheet name="Tasks" sheetId="2" r:id="rId2"/>
    <sheet name="Sheet1" sheetId="3" r:id="rId3"/>
    <sheet name="Sheet2" sheetId="4" r:id="rId4"/>
    <sheet name="Sheet3" sheetId="5" r:id="rId5"/>
  </sheets>
  <definedNames>
    <definedName name="_xlnm._FilterDatabase" localSheetId="0" hidden="1">Expense!$A$1:$C$51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4" l="1"/>
  <c r="D7" i="5"/>
  <c r="D8" i="5"/>
  <c r="D9" i="5"/>
  <c r="D10" i="5"/>
  <c r="D11" i="5"/>
  <c r="D12" i="5"/>
  <c r="D13" i="5"/>
  <c r="D14" i="5"/>
  <c r="D15" i="5"/>
  <c r="D16" i="5"/>
  <c r="D6" i="5"/>
  <c r="C17" i="5"/>
  <c r="E3" i="3"/>
  <c r="E4" i="3"/>
  <c r="E2" i="3"/>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53" i="4"/>
  <c r="E35" i="3"/>
  <c r="B35" i="3"/>
  <c r="B20" i="3"/>
  <c r="C52" i="1"/>
  <c r="E5" i="3" l="1"/>
</calcChain>
</file>

<file path=xl/sharedStrings.xml><?xml version="1.0" encoding="utf-8"?>
<sst xmlns="http://schemas.openxmlformats.org/spreadsheetml/2006/main" count="288" uniqueCount="41">
  <si>
    <t>Date</t>
  </si>
  <si>
    <t>Expense</t>
  </si>
  <si>
    <t>Medicine</t>
  </si>
  <si>
    <t>Online shopping</t>
  </si>
  <si>
    <t>Other essential items</t>
  </si>
  <si>
    <t>Vegetables &amp; Fruit</t>
  </si>
  <si>
    <t>Fish &amp; Chicken</t>
  </si>
  <si>
    <t>Ordering food</t>
  </si>
  <si>
    <t>Movie with friends</t>
  </si>
  <si>
    <t>Cab to office</t>
  </si>
  <si>
    <t>Gifts</t>
  </si>
  <si>
    <t>Mobile Bill Payment</t>
  </si>
  <si>
    <t>Trip</t>
  </si>
  <si>
    <t>Online Shopping</t>
  </si>
  <si>
    <t>Items</t>
  </si>
  <si>
    <t>How many times has Priya done transactions on online shopping, ordering food and gifts?</t>
  </si>
  <si>
    <t>Calculate the total expenses against each distinct item.</t>
  </si>
  <si>
    <t>Arrange the item-wise total expense in descending order.</t>
  </si>
  <si>
    <t>Present the item-wise total expense through a chart that shows the expense of each item as a percentage of the total expense. Don’t take trip expenses into consideration.</t>
  </si>
  <si>
    <t>Present the expense pattern visually over 3 months.</t>
  </si>
  <si>
    <t>Add a new column to the data table, name it as “Category” and apply data validation with drop-down fields as “Essentials” and “Non-essentials”. Fill in the column.</t>
  </si>
  <si>
    <t>Add another new column and name it as “Cost Type”. For each item, if the expense is more than 2000, tag it as “Over budget”, else, tag it as “Within budget”.</t>
  </si>
  <si>
    <t>Mention the ways how Priya can reduce her expenses. Justify each point.</t>
  </si>
  <si>
    <t>Task to Perform</t>
  </si>
  <si>
    <t>Q1: How many times has Priya done transactions on online shopping, ordering food and gifts?</t>
  </si>
  <si>
    <t>Total Expense</t>
  </si>
  <si>
    <t>Q2: Calculate the total expenses against each distinct item.</t>
  </si>
  <si>
    <t>Total Expenses</t>
  </si>
  <si>
    <t>Total</t>
  </si>
  <si>
    <t>Q3: Arrange the item-wise total expense in descending order.</t>
  </si>
  <si>
    <t xml:space="preserve"> </t>
  </si>
  <si>
    <t>Q4: Add a new column to the data table, name it as “Category” and apply data validation with drop-down fields as “Essentials” and “Non-essentials”. Fill in the column.</t>
  </si>
  <si>
    <t>Category</t>
  </si>
  <si>
    <t>Essentials</t>
  </si>
  <si>
    <t>Non-essentials</t>
  </si>
  <si>
    <t>Cost Type</t>
  </si>
  <si>
    <t>Q4: Present the item-wise total expense through a chart that shows the expense of each item as a percentage of the total expense. Don’t take trip expenses into consideration.</t>
  </si>
  <si>
    <t>Expenses</t>
  </si>
  <si>
    <t>Percentage</t>
  </si>
  <si>
    <t>Q6: Add a new column to the data table, name it as “Category” and apply data validation with drop-down fields as “Essentials” and “Non-essentials”. Fill in the column.</t>
  </si>
  <si>
    <t>Q7: Add another new column and name it as “Cost Type”. For each item, if the expense is more than 2000, tag it as “Over budget”, else, tag it as “Within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</si>
</sst>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b/>
      <sz val="11"/>
      <color rgb="FF003F81"/>
      <name val="Verdana"/>
      <family val="2"/>
    </font>
    <font>
      <sz val="11"/>
      <color rgb="FF000000"/>
      <name val="Verdana"/>
      <family val="2"/>
    </font>
    <font>
      <sz val="24"/>
      <color theme="1"/>
      <name val="Calibri"/>
      <family val="2"/>
      <scheme val="minor"/>
    </font>
    <font>
      <b/>
      <sz val="11"/>
      <color theme="1"/>
      <name val="Calibri"/>
      <family val="2"/>
      <scheme val="minor"/>
    </font>
    <font>
      <b/>
      <sz val="11"/>
      <color rgb="FF000000"/>
      <name val="Verdana"/>
      <family val="2"/>
    </font>
    <font>
      <sz val="11"/>
      <color theme="1"/>
      <name val="Calibri"/>
      <family val="2"/>
      <scheme val="minor"/>
    </font>
    <font>
      <b/>
      <sz val="11"/>
      <color theme="4"/>
      <name val="Calibri"/>
      <family val="2"/>
      <scheme val="minor"/>
    </font>
  </fonts>
  <fills count="9">
    <fill>
      <patternFill patternType="none"/>
    </fill>
    <fill>
      <patternFill patternType="gray125"/>
    </fill>
    <fill>
      <patternFill patternType="solid">
        <fgColor rgb="FFFFFFFF"/>
        <bgColor indexed="64"/>
      </patternFill>
    </fill>
    <fill>
      <patternFill patternType="solid">
        <fgColor rgb="FFF7F6F6"/>
        <bgColor indexed="64"/>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7" fillId="0" borderId="0" applyFont="0" applyFill="0" applyBorder="0" applyAlignment="0" applyProtection="0"/>
  </cellStyleXfs>
  <cellXfs count="42">
    <xf numFmtId="0" fontId="0" fillId="0" borderId="0" xfId="0"/>
    <xf numFmtId="0" fontId="1" fillId="0" borderId="0" xfId="0" applyFont="1" applyAlignment="1">
      <alignment vertical="center"/>
    </xf>
    <xf numFmtId="0" fontId="4" fillId="0" borderId="0" xfId="0" applyFont="1" applyAlignment="1">
      <alignment vertical="center"/>
    </xf>
    <xf numFmtId="0" fontId="2"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14" fontId="3" fillId="3" borderId="1" xfId="0" applyNumberFormat="1" applyFont="1" applyFill="1" applyBorder="1" applyAlignment="1">
      <alignment horizontal="center" vertical="center" wrapText="1"/>
    </xf>
    <xf numFmtId="0" fontId="3"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4" fontId="3" fillId="4" borderId="1" xfId="0" applyNumberFormat="1" applyFont="1" applyFill="1" applyBorder="1" applyAlignment="1">
      <alignment horizontal="right" vertical="center" wrapText="1"/>
    </xf>
    <xf numFmtId="0" fontId="0" fillId="4" borderId="0" xfId="0" applyFill="1" applyAlignment="1">
      <alignment horizontal="right"/>
    </xf>
    <xf numFmtId="0" fontId="5" fillId="5" borderId="1" xfId="0" applyFont="1" applyFill="1" applyBorder="1" applyAlignment="1">
      <alignment horizontal="center"/>
    </xf>
    <xf numFmtId="0" fontId="0" fillId="0" borderId="1" xfId="0" applyBorder="1" applyAlignment="1">
      <alignment vertical="center" wrapText="1"/>
    </xf>
    <xf numFmtId="0" fontId="5" fillId="0" borderId="0" xfId="0" applyFont="1" applyAlignment="1">
      <alignment horizontal="center"/>
    </xf>
    <xf numFmtId="0" fontId="5" fillId="0" borderId="0" xfId="0" applyFont="1"/>
    <xf numFmtId="0" fontId="3" fillId="3" borderId="2" xfId="0" applyFont="1" applyFill="1" applyBorder="1" applyAlignment="1">
      <alignment horizontal="right" vertical="center" wrapText="1"/>
    </xf>
    <xf numFmtId="0" fontId="0" fillId="0" borderId="1" xfId="0" applyBorder="1"/>
    <xf numFmtId="0" fontId="6" fillId="3" borderId="2" xfId="0" applyFont="1" applyFill="1" applyBorder="1" applyAlignment="1">
      <alignment horizontal="right" vertical="center" wrapText="1"/>
    </xf>
    <xf numFmtId="0" fontId="6" fillId="2" borderId="2" xfId="0" applyFont="1" applyFill="1" applyBorder="1" applyAlignment="1">
      <alignment horizontal="right" vertical="center" wrapText="1"/>
    </xf>
    <xf numFmtId="0" fontId="5" fillId="0" borderId="0" xfId="0" applyFont="1" applyAlignment="1">
      <alignment horizontal="center"/>
    </xf>
    <xf numFmtId="0" fontId="5" fillId="0" borderId="0" xfId="0" applyFont="1" applyAlignment="1">
      <alignment horizontal="left"/>
    </xf>
    <xf numFmtId="0" fontId="0" fillId="0" borderId="0" xfId="0" applyAlignment="1">
      <alignment horizontal="center"/>
    </xf>
    <xf numFmtId="0" fontId="3" fillId="3" borderId="1" xfId="0" applyFont="1" applyFill="1" applyBorder="1" applyAlignment="1">
      <alignment vertical="center"/>
    </xf>
    <xf numFmtId="0" fontId="3" fillId="2" borderId="1" xfId="0" applyFont="1" applyFill="1" applyBorder="1" applyAlignment="1">
      <alignment vertical="center"/>
    </xf>
    <xf numFmtId="0" fontId="6" fillId="2" borderId="2" xfId="0" applyFont="1" applyFill="1" applyBorder="1" applyAlignment="1">
      <alignment horizontal="right" vertical="center"/>
    </xf>
    <xf numFmtId="0" fontId="0" fillId="5" borderId="0" xfId="0" applyFill="1" applyAlignment="1">
      <alignment horizontal="center" wrapText="1"/>
    </xf>
    <xf numFmtId="0" fontId="8" fillId="0" borderId="0" xfId="0" applyFont="1"/>
    <xf numFmtId="0" fontId="3" fillId="6" borderId="1" xfId="0" applyFont="1" applyFill="1" applyBorder="1" applyAlignment="1">
      <alignment vertical="center"/>
    </xf>
    <xf numFmtId="0" fontId="0" fillId="6" borderId="0" xfId="0" applyFill="1"/>
    <xf numFmtId="9" fontId="0" fillId="6" borderId="0" xfId="1" applyFont="1" applyFill="1"/>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0" xfId="0" applyAlignment="1"/>
    <xf numFmtId="14" fontId="3" fillId="2" borderId="1" xfId="0" applyNumberFormat="1" applyFont="1" applyFill="1" applyBorder="1" applyAlignment="1">
      <alignment horizontal="center" vertical="center"/>
    </xf>
    <xf numFmtId="0" fontId="3" fillId="4" borderId="1" xfId="0" applyFont="1" applyFill="1" applyBorder="1" applyAlignment="1">
      <alignment horizontal="right" vertical="center"/>
    </xf>
    <xf numFmtId="14" fontId="3" fillId="3" borderId="1" xfId="0" applyNumberFormat="1" applyFont="1" applyFill="1" applyBorder="1" applyAlignment="1">
      <alignment horizontal="center" vertical="center"/>
    </xf>
    <xf numFmtId="4" fontId="3" fillId="4" borderId="1" xfId="0" applyNumberFormat="1" applyFont="1" applyFill="1" applyBorder="1" applyAlignment="1">
      <alignment horizontal="right" vertical="center"/>
    </xf>
    <xf numFmtId="0" fontId="5" fillId="6" borderId="0" xfId="0" applyFont="1" applyFill="1" applyAlignment="1">
      <alignment horizontal="center"/>
    </xf>
    <xf numFmtId="0" fontId="5" fillId="6" borderId="0" xfId="0" applyFont="1" applyFill="1" applyAlignment="1">
      <alignment horizontal="left"/>
    </xf>
    <xf numFmtId="0" fontId="0" fillId="7" borderId="0" xfId="0" applyFill="1" applyAlignment="1"/>
    <xf numFmtId="0" fontId="0" fillId="8" borderId="0" xfId="0" applyFill="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Sheet3!$D$5</c:f>
              <c:strCache>
                <c:ptCount val="1"/>
                <c:pt idx="0">
                  <c:v>Percentage</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Sheet3!$B$6:$B$16</c15:sqref>
                  </c15:fullRef>
                </c:ext>
              </c:extLst>
              <c:f>(Sheet3!$B$6,Sheet3!$B$8:$B$16)</c:f>
              <c:strCache>
                <c:ptCount val="10"/>
                <c:pt idx="0">
                  <c:v>Vegetables &amp; Fruit</c:v>
                </c:pt>
                <c:pt idx="1">
                  <c:v>Other essential items</c:v>
                </c:pt>
                <c:pt idx="2">
                  <c:v>Ordering food</c:v>
                </c:pt>
                <c:pt idx="3">
                  <c:v>Online shopping</c:v>
                </c:pt>
                <c:pt idx="4">
                  <c:v>Movie with friends</c:v>
                </c:pt>
                <c:pt idx="5">
                  <c:v>Mobile Bill Payment</c:v>
                </c:pt>
                <c:pt idx="6">
                  <c:v>Medicine</c:v>
                </c:pt>
                <c:pt idx="7">
                  <c:v>Gifts</c:v>
                </c:pt>
                <c:pt idx="8">
                  <c:v>Fish &amp; Chicken</c:v>
                </c:pt>
                <c:pt idx="9">
                  <c:v>Cab to office</c:v>
                </c:pt>
              </c:strCache>
            </c:strRef>
          </c:cat>
          <c:val>
            <c:numRef>
              <c:extLst>
                <c:ext xmlns:c15="http://schemas.microsoft.com/office/drawing/2012/chart" uri="{02D57815-91ED-43cb-92C2-25804820EDAC}">
                  <c15:fullRef>
                    <c15:sqref>Sheet3!$D$6:$D$16</c15:sqref>
                  </c15:fullRef>
                </c:ext>
              </c:extLst>
              <c:f>(Sheet3!$D$6,Sheet3!$D$8:$D$16)</c:f>
              <c:numCache>
                <c:formatCode>0%</c:formatCode>
                <c:ptCount val="10"/>
                <c:pt idx="0">
                  <c:v>5.6393807935346783E-2</c:v>
                </c:pt>
                <c:pt idx="1">
                  <c:v>0.17870193269310497</c:v>
                </c:pt>
                <c:pt idx="2">
                  <c:v>3.255309335901118E-2</c:v>
                </c:pt>
                <c:pt idx="3">
                  <c:v>0.13084345117483009</c:v>
                </c:pt>
                <c:pt idx="4">
                  <c:v>4.5332417569414606E-2</c:v>
                </c:pt>
                <c:pt idx="5">
                  <c:v>2.4739299156617191E-2</c:v>
                </c:pt>
                <c:pt idx="6">
                  <c:v>0.136295261640448</c:v>
                </c:pt>
                <c:pt idx="7">
                  <c:v>9.971028272808595E-2</c:v>
                </c:pt>
                <c:pt idx="8">
                  <c:v>5.8585050083907041E-2</c:v>
                </c:pt>
                <c:pt idx="9">
                  <c:v>2.6486157397449424E-2</c:v>
                </c:pt>
              </c:numCache>
            </c:numRef>
          </c:val>
          <c:extLst>
            <c:ext xmlns:c16="http://schemas.microsoft.com/office/drawing/2014/chart" uri="{C3380CC4-5D6E-409C-BE32-E72D297353CC}">
              <c16:uniqueId val="{00000001-F074-4F97-9EF3-1A902A2BF48B}"/>
            </c:ext>
          </c:extLst>
        </c:ser>
        <c:dLbls>
          <c:showLegendKey val="0"/>
          <c:showVal val="1"/>
          <c:showCatName val="0"/>
          <c:showSerName val="0"/>
          <c:showPercent val="0"/>
          <c:showBubbleSize val="0"/>
        </c:dLbls>
        <c:gapWidth val="150"/>
        <c:shape val="box"/>
        <c:axId val="876995296"/>
        <c:axId val="876992896"/>
        <c:axId val="0"/>
      </c:bar3DChart>
      <c:catAx>
        <c:axId val="8769952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Items</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992896"/>
        <c:crosses val="autoZero"/>
        <c:auto val="1"/>
        <c:lblAlgn val="ctr"/>
        <c:lblOffset val="100"/>
        <c:noMultiLvlLbl val="0"/>
      </c:catAx>
      <c:valAx>
        <c:axId val="87699289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Expense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995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prstMaterial="matte"/>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530225</xdr:colOff>
      <xdr:row>3</xdr:row>
      <xdr:rowOff>107950</xdr:rowOff>
    </xdr:from>
    <xdr:to>
      <xdr:col>13</xdr:col>
      <xdr:colOff>225425</xdr:colOff>
      <xdr:row>18</xdr:row>
      <xdr:rowOff>95250</xdr:rowOff>
    </xdr:to>
    <xdr:graphicFrame macro="">
      <xdr:nvGraphicFramePr>
        <xdr:cNvPr id="2" name="Chart 1">
          <a:extLst>
            <a:ext uri="{FF2B5EF4-FFF2-40B4-BE49-F238E27FC236}">
              <a16:creationId xmlns:a16="http://schemas.microsoft.com/office/drawing/2014/main" id="{FCBE86C5-3047-6B00-4706-A6397D163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opLeftCell="A15" zoomScaleNormal="100" workbookViewId="0">
      <selection activeCell="B23" sqref="B23"/>
    </sheetView>
  </sheetViews>
  <sheetFormatPr defaultRowHeight="14.5" x14ac:dyDescent="0.35"/>
  <cols>
    <col min="1" max="1" width="17.08984375" customWidth="1"/>
    <col min="2" max="2" width="24.54296875" customWidth="1"/>
    <col min="3" max="3" width="14.453125" style="11" customWidth="1"/>
  </cols>
  <sheetData>
    <row r="1" spans="1:6" ht="13.75" customHeight="1" x14ac:dyDescent="0.35">
      <c r="A1" s="3" t="s">
        <v>0</v>
      </c>
      <c r="B1" s="3" t="s">
        <v>14</v>
      </c>
      <c r="C1" s="8" t="s">
        <v>1</v>
      </c>
    </row>
    <row r="2" spans="1:6" ht="18" customHeight="1" x14ac:dyDescent="0.35">
      <c r="A2" s="4">
        <v>44470</v>
      </c>
      <c r="B2" s="5" t="s">
        <v>2</v>
      </c>
      <c r="C2" s="9">
        <v>2300</v>
      </c>
    </row>
    <row r="3" spans="1:6" x14ac:dyDescent="0.35">
      <c r="A3" s="6">
        <v>44470</v>
      </c>
      <c r="B3" s="7" t="s">
        <v>3</v>
      </c>
      <c r="C3" s="9">
        <v>767</v>
      </c>
    </row>
    <row r="4" spans="1:6" x14ac:dyDescent="0.35">
      <c r="A4" s="6">
        <v>44470</v>
      </c>
      <c r="B4" s="7" t="s">
        <v>4</v>
      </c>
      <c r="C4" s="10">
        <v>2500</v>
      </c>
      <c r="F4" t="s">
        <v>30</v>
      </c>
    </row>
    <row r="5" spans="1:6" x14ac:dyDescent="0.35">
      <c r="A5" s="6">
        <v>44473</v>
      </c>
      <c r="B5" s="7" t="s">
        <v>5</v>
      </c>
      <c r="C5" s="9">
        <v>710</v>
      </c>
    </row>
    <row r="6" spans="1:6" x14ac:dyDescent="0.35">
      <c r="A6" s="4">
        <v>44473</v>
      </c>
      <c r="B6" s="5" t="s">
        <v>6</v>
      </c>
      <c r="C6" s="9">
        <v>760</v>
      </c>
    </row>
    <row r="7" spans="1:6" x14ac:dyDescent="0.35">
      <c r="A7" s="6">
        <v>44476</v>
      </c>
      <c r="B7" s="7" t="s">
        <v>10</v>
      </c>
      <c r="C7" s="10">
        <v>1900</v>
      </c>
    </row>
    <row r="8" spans="1:6" x14ac:dyDescent="0.35">
      <c r="A8" s="4">
        <v>44477</v>
      </c>
      <c r="B8" s="5" t="s">
        <v>7</v>
      </c>
      <c r="C8" s="9">
        <v>450</v>
      </c>
    </row>
    <row r="9" spans="1:6" x14ac:dyDescent="0.35">
      <c r="A9" s="6">
        <v>44484</v>
      </c>
      <c r="B9" s="7" t="s">
        <v>8</v>
      </c>
      <c r="C9" s="9">
        <v>620</v>
      </c>
    </row>
    <row r="10" spans="1:6" x14ac:dyDescent="0.35">
      <c r="A10" s="6">
        <v>44485</v>
      </c>
      <c r="B10" s="7" t="s">
        <v>11</v>
      </c>
      <c r="C10" s="9">
        <v>470</v>
      </c>
    </row>
    <row r="11" spans="1:6" x14ac:dyDescent="0.35">
      <c r="A11" s="6">
        <v>44487</v>
      </c>
      <c r="B11" s="7" t="s">
        <v>3</v>
      </c>
      <c r="C11" s="9">
        <v>970</v>
      </c>
    </row>
    <row r="12" spans="1:6" x14ac:dyDescent="0.35">
      <c r="A12" s="6">
        <v>44487</v>
      </c>
      <c r="B12" s="5" t="s">
        <v>2</v>
      </c>
      <c r="C12" s="10">
        <v>1075</v>
      </c>
    </row>
    <row r="13" spans="1:6" x14ac:dyDescent="0.35">
      <c r="A13" s="6">
        <v>44488</v>
      </c>
      <c r="B13" s="7" t="s">
        <v>7</v>
      </c>
      <c r="C13" s="9">
        <v>489</v>
      </c>
    </row>
    <row r="14" spans="1:6" x14ac:dyDescent="0.35">
      <c r="A14" s="6">
        <v>44491</v>
      </c>
      <c r="B14" s="7" t="s">
        <v>4</v>
      </c>
      <c r="C14" s="10">
        <v>1574.1</v>
      </c>
    </row>
    <row r="15" spans="1:6" x14ac:dyDescent="0.35">
      <c r="A15" s="6">
        <v>44491</v>
      </c>
      <c r="B15" s="7" t="s">
        <v>6</v>
      </c>
      <c r="C15" s="9">
        <v>550</v>
      </c>
    </row>
    <row r="16" spans="1:6" x14ac:dyDescent="0.35">
      <c r="A16" s="6">
        <v>44494</v>
      </c>
      <c r="B16" s="7" t="s">
        <v>9</v>
      </c>
      <c r="C16" s="9">
        <v>423</v>
      </c>
    </row>
    <row r="17" spans="1:3" x14ac:dyDescent="0.35">
      <c r="A17" s="6">
        <v>44496</v>
      </c>
      <c r="B17" s="7" t="s">
        <v>9</v>
      </c>
      <c r="C17" s="9">
        <v>358.22</v>
      </c>
    </row>
    <row r="18" spans="1:3" x14ac:dyDescent="0.35">
      <c r="A18" s="6">
        <v>44496</v>
      </c>
      <c r="B18" s="7" t="s">
        <v>8</v>
      </c>
      <c r="C18" s="9">
        <v>520</v>
      </c>
    </row>
    <row r="19" spans="1:3" x14ac:dyDescent="0.35">
      <c r="A19" s="4">
        <v>44497</v>
      </c>
      <c r="B19" s="5" t="s">
        <v>5</v>
      </c>
      <c r="C19" s="9">
        <v>300</v>
      </c>
    </row>
    <row r="20" spans="1:3" x14ac:dyDescent="0.35">
      <c r="A20" s="4">
        <v>44498</v>
      </c>
      <c r="B20" s="5" t="s">
        <v>9</v>
      </c>
      <c r="C20" s="9">
        <v>407.05</v>
      </c>
    </row>
    <row r="21" spans="1:3" x14ac:dyDescent="0.35">
      <c r="A21" s="4">
        <v>44499</v>
      </c>
      <c r="B21" s="5" t="s">
        <v>4</v>
      </c>
      <c r="C21" s="9">
        <v>300</v>
      </c>
    </row>
    <row r="22" spans="1:3" x14ac:dyDescent="0.35">
      <c r="A22" s="6">
        <v>44501</v>
      </c>
      <c r="B22" s="7" t="s">
        <v>3</v>
      </c>
      <c r="C22" s="10">
        <v>2327</v>
      </c>
    </row>
    <row r="23" spans="1:3" x14ac:dyDescent="0.35">
      <c r="A23" s="6">
        <v>44502</v>
      </c>
      <c r="B23" s="7" t="s">
        <v>10</v>
      </c>
      <c r="C23" s="9">
        <v>1150</v>
      </c>
    </row>
    <row r="24" spans="1:3" x14ac:dyDescent="0.35">
      <c r="A24" s="6">
        <v>44504</v>
      </c>
      <c r="B24" s="7" t="s">
        <v>10</v>
      </c>
      <c r="C24" s="10">
        <v>1138</v>
      </c>
    </row>
    <row r="25" spans="1:3" x14ac:dyDescent="0.35">
      <c r="A25" s="4">
        <v>44505</v>
      </c>
      <c r="B25" s="5" t="s">
        <v>13</v>
      </c>
      <c r="C25" s="9">
        <v>500</v>
      </c>
    </row>
    <row r="26" spans="1:3" x14ac:dyDescent="0.35">
      <c r="A26" s="4">
        <v>44508</v>
      </c>
      <c r="B26" s="5" t="s">
        <v>6</v>
      </c>
      <c r="C26" s="9">
        <v>702</v>
      </c>
    </row>
    <row r="27" spans="1:3" x14ac:dyDescent="0.35">
      <c r="A27" s="6">
        <v>44509</v>
      </c>
      <c r="B27" s="7" t="s">
        <v>4</v>
      </c>
      <c r="C27" s="10">
        <v>1600</v>
      </c>
    </row>
    <row r="28" spans="1:3" x14ac:dyDescent="0.35">
      <c r="A28" s="6">
        <v>44512</v>
      </c>
      <c r="B28" s="7" t="s">
        <v>5</v>
      </c>
      <c r="C28" s="9">
        <v>600</v>
      </c>
    </row>
    <row r="29" spans="1:3" ht="19.25" customHeight="1" x14ac:dyDescent="0.35">
      <c r="A29" s="4">
        <v>44515</v>
      </c>
      <c r="B29" s="5" t="s">
        <v>13</v>
      </c>
      <c r="C29" s="9">
        <v>900</v>
      </c>
    </row>
    <row r="30" spans="1:3" x14ac:dyDescent="0.35">
      <c r="A30" s="6">
        <v>44515</v>
      </c>
      <c r="B30" s="5" t="s">
        <v>6</v>
      </c>
      <c r="C30" s="9">
        <v>150</v>
      </c>
    </row>
    <row r="31" spans="1:3" x14ac:dyDescent="0.35">
      <c r="A31" s="4">
        <v>44515</v>
      </c>
      <c r="B31" s="5" t="s">
        <v>2</v>
      </c>
      <c r="C31" s="9">
        <v>2100</v>
      </c>
    </row>
    <row r="32" spans="1:3" x14ac:dyDescent="0.35">
      <c r="A32" s="4">
        <v>44517</v>
      </c>
      <c r="B32" s="5" t="s">
        <v>11</v>
      </c>
      <c r="C32" s="9">
        <v>470.63</v>
      </c>
    </row>
    <row r="33" spans="1:3" x14ac:dyDescent="0.35">
      <c r="A33" s="4">
        <v>44517</v>
      </c>
      <c r="B33" s="5" t="s">
        <v>9</v>
      </c>
      <c r="C33" s="9">
        <v>322.64</v>
      </c>
    </row>
    <row r="34" spans="1:3" x14ac:dyDescent="0.35">
      <c r="A34" s="4">
        <v>44518</v>
      </c>
      <c r="B34" s="7" t="s">
        <v>8</v>
      </c>
      <c r="C34" s="9">
        <v>428</v>
      </c>
    </row>
    <row r="35" spans="1:3" x14ac:dyDescent="0.35">
      <c r="A35" s="4">
        <v>44519</v>
      </c>
      <c r="B35" s="5" t="s">
        <v>5</v>
      </c>
      <c r="C35" s="9">
        <v>447</v>
      </c>
    </row>
    <row r="36" spans="1:3" x14ac:dyDescent="0.35">
      <c r="A36" s="4">
        <v>44522</v>
      </c>
      <c r="B36" s="5" t="s">
        <v>4</v>
      </c>
      <c r="C36" s="10">
        <v>1720</v>
      </c>
    </row>
    <row r="37" spans="1:3" x14ac:dyDescent="0.35">
      <c r="A37" s="6">
        <v>44524</v>
      </c>
      <c r="B37" s="7" t="s">
        <v>6</v>
      </c>
      <c r="C37" s="9">
        <v>540</v>
      </c>
    </row>
    <row r="38" spans="1:3" x14ac:dyDescent="0.35">
      <c r="A38" s="4">
        <v>44525</v>
      </c>
      <c r="B38" s="5" t="s">
        <v>7</v>
      </c>
      <c r="C38" s="9">
        <v>314</v>
      </c>
    </row>
    <row r="39" spans="1:3" ht="18" customHeight="1" x14ac:dyDescent="0.35">
      <c r="A39" s="4">
        <v>44526</v>
      </c>
      <c r="B39" s="5" t="s">
        <v>8</v>
      </c>
      <c r="C39" s="9">
        <v>518</v>
      </c>
    </row>
    <row r="40" spans="1:3" ht="15.65" customHeight="1" x14ac:dyDescent="0.35">
      <c r="A40" s="4">
        <v>44526</v>
      </c>
      <c r="B40" s="7" t="s">
        <v>3</v>
      </c>
      <c r="C40" s="10">
        <v>2000</v>
      </c>
    </row>
    <row r="41" spans="1:3" x14ac:dyDescent="0.35">
      <c r="A41" s="6">
        <v>44529</v>
      </c>
      <c r="B41" s="7" t="s">
        <v>7</v>
      </c>
      <c r="C41" s="9">
        <v>337</v>
      </c>
    </row>
    <row r="42" spans="1:3" x14ac:dyDescent="0.35">
      <c r="A42" s="4">
        <v>44530</v>
      </c>
      <c r="B42" s="5" t="s">
        <v>8</v>
      </c>
      <c r="C42" s="9">
        <v>500</v>
      </c>
    </row>
    <row r="43" spans="1:3" x14ac:dyDescent="0.35">
      <c r="A43" s="4">
        <v>44531</v>
      </c>
      <c r="B43" s="5" t="s">
        <v>4</v>
      </c>
      <c r="C43" s="10">
        <v>2500</v>
      </c>
    </row>
    <row r="44" spans="1:3" x14ac:dyDescent="0.35">
      <c r="A44" s="6">
        <v>44534</v>
      </c>
      <c r="B44" s="7" t="s">
        <v>5</v>
      </c>
      <c r="C44" s="9">
        <v>710</v>
      </c>
    </row>
    <row r="45" spans="1:3" x14ac:dyDescent="0.35">
      <c r="A45" s="4">
        <v>44537</v>
      </c>
      <c r="B45" s="5" t="s">
        <v>2</v>
      </c>
      <c r="C45" s="9">
        <v>2300</v>
      </c>
    </row>
    <row r="46" spans="1:3" x14ac:dyDescent="0.35">
      <c r="A46" s="4">
        <v>44539</v>
      </c>
      <c r="B46" s="5" t="s">
        <v>12</v>
      </c>
      <c r="C46" s="9">
        <v>12000</v>
      </c>
    </row>
    <row r="47" spans="1:3" x14ac:dyDescent="0.35">
      <c r="A47" s="4">
        <v>44545</v>
      </c>
      <c r="B47" s="7" t="s">
        <v>10</v>
      </c>
      <c r="C47" s="9">
        <v>1500</v>
      </c>
    </row>
    <row r="48" spans="1:3" x14ac:dyDescent="0.35">
      <c r="A48" s="4">
        <v>44547</v>
      </c>
      <c r="B48" s="5" t="s">
        <v>11</v>
      </c>
      <c r="C48" s="9">
        <v>470.63</v>
      </c>
    </row>
    <row r="49" spans="1:3" x14ac:dyDescent="0.35">
      <c r="A49" s="4">
        <v>44550</v>
      </c>
      <c r="B49" s="5" t="s">
        <v>7</v>
      </c>
      <c r="C49" s="9">
        <v>267</v>
      </c>
    </row>
    <row r="50" spans="1:3" x14ac:dyDescent="0.35">
      <c r="A50" s="4">
        <v>44553</v>
      </c>
      <c r="B50" s="5" t="s">
        <v>6</v>
      </c>
      <c r="C50" s="9">
        <v>640</v>
      </c>
    </row>
    <row r="51" spans="1:3" x14ac:dyDescent="0.35">
      <c r="A51" s="4">
        <v>44553</v>
      </c>
      <c r="B51" s="5" t="s">
        <v>5</v>
      </c>
      <c r="C51" s="9">
        <v>450</v>
      </c>
    </row>
    <row r="52" spans="1:3" ht="31" x14ac:dyDescent="0.35">
      <c r="A52" s="2"/>
      <c r="C52" s="11">
        <f>SUM(C2:C51)</f>
        <v>57045.27</v>
      </c>
    </row>
    <row r="53" spans="1:3" ht="15.5" x14ac:dyDescent="0.35">
      <c r="A53"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78ED-C982-4EE1-A532-7979B17BFC17}">
  <dimension ref="B1:B9"/>
  <sheetViews>
    <sheetView topLeftCell="A3" workbookViewId="0">
      <selection activeCell="B5" sqref="B5"/>
    </sheetView>
  </sheetViews>
  <sheetFormatPr defaultRowHeight="14.5" x14ac:dyDescent="0.35"/>
  <cols>
    <col min="2" max="2" width="61.453125" customWidth="1"/>
  </cols>
  <sheetData>
    <row r="1" spans="2:2" x14ac:dyDescent="0.35">
      <c r="B1" s="12" t="s">
        <v>23</v>
      </c>
    </row>
    <row r="2" spans="2:2" ht="39" customHeight="1" x14ac:dyDescent="0.35">
      <c r="B2" s="13" t="s">
        <v>15</v>
      </c>
    </row>
    <row r="3" spans="2:2" ht="25.25" customHeight="1" x14ac:dyDescent="0.35">
      <c r="B3" s="13" t="s">
        <v>16</v>
      </c>
    </row>
    <row r="4" spans="2:2" ht="37.25" customHeight="1" x14ac:dyDescent="0.35">
      <c r="B4" s="13" t="s">
        <v>17</v>
      </c>
    </row>
    <row r="5" spans="2:2" ht="41.4" customHeight="1" x14ac:dyDescent="0.35">
      <c r="B5" s="13" t="s">
        <v>18</v>
      </c>
    </row>
    <row r="6" spans="2:2" ht="32.4" customHeight="1" x14ac:dyDescent="0.35">
      <c r="B6" s="13" t="s">
        <v>19</v>
      </c>
    </row>
    <row r="7" spans="2:2" ht="51" customHeight="1" x14ac:dyDescent="0.35">
      <c r="B7" s="13" t="s">
        <v>20</v>
      </c>
    </row>
    <row r="8" spans="2:2" ht="42" customHeight="1" x14ac:dyDescent="0.35">
      <c r="B8" s="13" t="s">
        <v>21</v>
      </c>
    </row>
    <row r="9" spans="2:2" ht="31.25" customHeight="1" x14ac:dyDescent="0.35">
      <c r="B9" s="13"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B2A0-E114-408F-BB87-614B3A640D18}">
  <dimension ref="A1:J37"/>
  <sheetViews>
    <sheetView topLeftCell="A19" workbookViewId="0">
      <selection activeCell="E24" sqref="E24:E34"/>
    </sheetView>
  </sheetViews>
  <sheetFormatPr defaultRowHeight="14.5" x14ac:dyDescent="0.35"/>
  <cols>
    <col min="1" max="1" width="24.453125" customWidth="1"/>
    <col min="2" max="2" width="13.36328125" bestFit="1" customWidth="1"/>
    <col min="3" max="3" width="18.7265625" customWidth="1"/>
    <col min="4" max="4" width="29.6328125" customWidth="1"/>
    <col min="10" max="10" width="11.08984375" customWidth="1"/>
  </cols>
  <sheetData>
    <row r="1" spans="1:10" x14ac:dyDescent="0.35">
      <c r="A1" s="21" t="s">
        <v>24</v>
      </c>
      <c r="B1" s="21"/>
      <c r="C1" s="21"/>
      <c r="D1" s="21"/>
      <c r="E1" s="21"/>
      <c r="F1" s="21"/>
      <c r="G1" s="21"/>
      <c r="H1" s="21"/>
      <c r="I1" s="21"/>
      <c r="J1" s="21"/>
    </row>
    <row r="2" spans="1:10" x14ac:dyDescent="0.35">
      <c r="A2">
        <v>1</v>
      </c>
      <c r="B2" s="22" t="s">
        <v>3</v>
      </c>
      <c r="C2" s="22"/>
      <c r="D2" s="22"/>
      <c r="E2">
        <f>COUNTIF(Expense!B1:B51,B2)</f>
        <v>6</v>
      </c>
    </row>
    <row r="3" spans="1:10" x14ac:dyDescent="0.35">
      <c r="A3">
        <v>2</v>
      </c>
      <c r="B3" s="22" t="s">
        <v>7</v>
      </c>
      <c r="C3" s="22"/>
      <c r="D3" s="22"/>
      <c r="E3">
        <f>COUNTIF(Expense!B2:B52,B3)</f>
        <v>5</v>
      </c>
    </row>
    <row r="4" spans="1:10" x14ac:dyDescent="0.35">
      <c r="A4">
        <v>3</v>
      </c>
      <c r="B4" s="22" t="s">
        <v>10</v>
      </c>
      <c r="C4" s="22"/>
      <c r="D4" s="22"/>
      <c r="E4">
        <f>COUNTIF(Expense!B3:B53,B4)</f>
        <v>4</v>
      </c>
    </row>
    <row r="5" spans="1:10" x14ac:dyDescent="0.35">
      <c r="B5" s="22" t="s">
        <v>25</v>
      </c>
      <c r="C5" s="22"/>
      <c r="D5" s="22"/>
      <c r="E5">
        <f>SUM(E2:E4)</f>
        <v>15</v>
      </c>
    </row>
    <row r="7" spans="1:10" x14ac:dyDescent="0.35">
      <c r="A7" s="21" t="s">
        <v>26</v>
      </c>
      <c r="B7" s="21"/>
      <c r="C7" s="21"/>
      <c r="D7" s="21"/>
      <c r="E7" s="21"/>
      <c r="F7" s="21"/>
      <c r="G7" s="21"/>
      <c r="H7" s="21"/>
      <c r="I7" s="21"/>
      <c r="J7" s="21"/>
    </row>
    <row r="8" spans="1:10" x14ac:dyDescent="0.35">
      <c r="A8" s="14" t="s">
        <v>14</v>
      </c>
      <c r="B8" s="15" t="s">
        <v>27</v>
      </c>
    </row>
    <row r="9" spans="1:10" x14ac:dyDescent="0.35">
      <c r="A9" s="5" t="s">
        <v>2</v>
      </c>
      <c r="B9">
        <v>7775</v>
      </c>
    </row>
    <row r="10" spans="1:10" x14ac:dyDescent="0.35">
      <c r="A10" s="7" t="s">
        <v>3</v>
      </c>
      <c r="B10">
        <v>7464</v>
      </c>
    </row>
    <row r="11" spans="1:10" x14ac:dyDescent="0.35">
      <c r="A11" s="7" t="s">
        <v>4</v>
      </c>
      <c r="B11">
        <v>10194.1</v>
      </c>
    </row>
    <row r="12" spans="1:10" x14ac:dyDescent="0.35">
      <c r="A12" s="7" t="s">
        <v>5</v>
      </c>
      <c r="B12">
        <v>3217</v>
      </c>
    </row>
    <row r="13" spans="1:10" x14ac:dyDescent="0.35">
      <c r="A13" s="5" t="s">
        <v>6</v>
      </c>
      <c r="B13">
        <v>3342</v>
      </c>
    </row>
    <row r="14" spans="1:10" x14ac:dyDescent="0.35">
      <c r="A14" s="7" t="s">
        <v>10</v>
      </c>
      <c r="B14">
        <v>5688</v>
      </c>
    </row>
    <row r="15" spans="1:10" x14ac:dyDescent="0.35">
      <c r="A15" s="5" t="s">
        <v>7</v>
      </c>
      <c r="B15">
        <v>1857</v>
      </c>
    </row>
    <row r="16" spans="1:10" x14ac:dyDescent="0.35">
      <c r="A16" s="7" t="s">
        <v>8</v>
      </c>
      <c r="B16">
        <v>2586</v>
      </c>
    </row>
    <row r="17" spans="1:10" x14ac:dyDescent="0.35">
      <c r="A17" s="7" t="s">
        <v>11</v>
      </c>
      <c r="B17">
        <v>1411.26</v>
      </c>
    </row>
    <row r="18" spans="1:10" x14ac:dyDescent="0.35">
      <c r="A18" s="7" t="s">
        <v>9</v>
      </c>
      <c r="B18">
        <v>1510.9099999999999</v>
      </c>
    </row>
    <row r="19" spans="1:10" x14ac:dyDescent="0.35">
      <c r="A19" s="5" t="s">
        <v>12</v>
      </c>
      <c r="B19">
        <v>12000</v>
      </c>
    </row>
    <row r="20" spans="1:10" x14ac:dyDescent="0.35">
      <c r="A20" s="16" t="s">
        <v>28</v>
      </c>
      <c r="B20" s="17">
        <f>SUM(B9:B19)</f>
        <v>57045.270000000004</v>
      </c>
    </row>
    <row r="22" spans="1:10" x14ac:dyDescent="0.35">
      <c r="A22" s="21" t="s">
        <v>29</v>
      </c>
      <c r="B22" s="21"/>
      <c r="C22" s="21"/>
      <c r="D22" s="21"/>
      <c r="E22" s="21"/>
      <c r="F22" s="21"/>
      <c r="G22" s="21"/>
      <c r="H22" s="21"/>
      <c r="I22" s="21"/>
      <c r="J22" s="21"/>
    </row>
    <row r="23" spans="1:10" x14ac:dyDescent="0.35">
      <c r="A23" s="14" t="s">
        <v>14</v>
      </c>
      <c r="B23" s="15" t="s">
        <v>27</v>
      </c>
      <c r="D23" s="14" t="s">
        <v>14</v>
      </c>
      <c r="E23" s="15" t="s">
        <v>27</v>
      </c>
    </row>
    <row r="24" spans="1:10" x14ac:dyDescent="0.35">
      <c r="A24" s="5" t="s">
        <v>2</v>
      </c>
      <c r="B24">
        <v>7775</v>
      </c>
      <c r="D24" s="7" t="s">
        <v>5</v>
      </c>
      <c r="E24">
        <v>3217</v>
      </c>
    </row>
    <row r="25" spans="1:10" x14ac:dyDescent="0.35">
      <c r="A25" s="7" t="s">
        <v>3</v>
      </c>
      <c r="B25">
        <v>7464</v>
      </c>
      <c r="D25" s="5" t="s">
        <v>12</v>
      </c>
      <c r="E25">
        <v>12000</v>
      </c>
    </row>
    <row r="26" spans="1:10" x14ac:dyDescent="0.35">
      <c r="A26" s="7" t="s">
        <v>4</v>
      </c>
      <c r="B26">
        <v>10194.1</v>
      </c>
      <c r="D26" s="7" t="s">
        <v>4</v>
      </c>
      <c r="E26">
        <v>10194.1</v>
      </c>
    </row>
    <row r="27" spans="1:10" x14ac:dyDescent="0.35">
      <c r="A27" s="7" t="s">
        <v>5</v>
      </c>
      <c r="B27">
        <v>3217</v>
      </c>
      <c r="D27" s="5" t="s">
        <v>7</v>
      </c>
      <c r="E27">
        <v>1857</v>
      </c>
    </row>
    <row r="28" spans="1:10" x14ac:dyDescent="0.35">
      <c r="A28" s="5" t="s">
        <v>6</v>
      </c>
      <c r="B28">
        <v>3342</v>
      </c>
      <c r="D28" s="7" t="s">
        <v>3</v>
      </c>
      <c r="E28">
        <v>7464</v>
      </c>
    </row>
    <row r="29" spans="1:10" x14ac:dyDescent="0.35">
      <c r="A29" s="7" t="s">
        <v>10</v>
      </c>
      <c r="B29">
        <v>5688</v>
      </c>
      <c r="D29" s="7" t="s">
        <v>8</v>
      </c>
      <c r="E29">
        <v>2586</v>
      </c>
    </row>
    <row r="30" spans="1:10" x14ac:dyDescent="0.35">
      <c r="A30" s="5" t="s">
        <v>7</v>
      </c>
      <c r="B30">
        <v>1857</v>
      </c>
      <c r="D30" s="7" t="s">
        <v>11</v>
      </c>
      <c r="E30">
        <v>1411.26</v>
      </c>
    </row>
    <row r="31" spans="1:10" x14ac:dyDescent="0.35">
      <c r="A31" s="7" t="s">
        <v>8</v>
      </c>
      <c r="B31">
        <v>2586</v>
      </c>
      <c r="D31" s="5" t="s">
        <v>2</v>
      </c>
      <c r="E31">
        <v>7775</v>
      </c>
    </row>
    <row r="32" spans="1:10" x14ac:dyDescent="0.35">
      <c r="A32" s="7" t="s">
        <v>11</v>
      </c>
      <c r="B32">
        <v>1411.26</v>
      </c>
      <c r="D32" s="7" t="s">
        <v>10</v>
      </c>
      <c r="E32">
        <v>5688</v>
      </c>
    </row>
    <row r="33" spans="1:10" x14ac:dyDescent="0.35">
      <c r="A33" s="7" t="s">
        <v>9</v>
      </c>
      <c r="B33">
        <v>1510.9099999999999</v>
      </c>
      <c r="D33" s="5" t="s">
        <v>6</v>
      </c>
      <c r="E33">
        <v>3342</v>
      </c>
    </row>
    <row r="34" spans="1:10" x14ac:dyDescent="0.35">
      <c r="A34" s="5" t="s">
        <v>12</v>
      </c>
      <c r="B34">
        <v>12000</v>
      </c>
      <c r="D34" s="7" t="s">
        <v>9</v>
      </c>
      <c r="E34">
        <v>1510.9099999999999</v>
      </c>
    </row>
    <row r="35" spans="1:10" x14ac:dyDescent="0.35">
      <c r="A35" s="18" t="s">
        <v>28</v>
      </c>
      <c r="B35">
        <f>SUM(B24:B34)</f>
        <v>57045.270000000004</v>
      </c>
      <c r="D35" s="19" t="s">
        <v>28</v>
      </c>
      <c r="E35">
        <f>SUM(E24:E34)</f>
        <v>57045.270000000004</v>
      </c>
    </row>
    <row r="37" spans="1:10" x14ac:dyDescent="0.35">
      <c r="A37" s="20" t="s">
        <v>31</v>
      </c>
      <c r="B37" s="20"/>
      <c r="C37" s="20"/>
      <c r="D37" s="20"/>
      <c r="E37" s="20"/>
      <c r="F37" s="20"/>
      <c r="G37" s="20"/>
      <c r="H37" s="20"/>
      <c r="I37" s="20"/>
      <c r="J37" s="20"/>
    </row>
  </sheetData>
  <sortState xmlns:xlrd2="http://schemas.microsoft.com/office/spreadsheetml/2017/richdata2" ref="D24:E34">
    <sortCondition descending="1" ref="D23:D34"/>
  </sortState>
  <mergeCells count="8">
    <mergeCell ref="A22:J22"/>
    <mergeCell ref="A37:J37"/>
    <mergeCell ref="A7:J7"/>
    <mergeCell ref="A1:J1"/>
    <mergeCell ref="B4:D4"/>
    <mergeCell ref="B3:D3"/>
    <mergeCell ref="B2:D2"/>
    <mergeCell ref="B5:D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EB41-189B-48A9-8407-09C2EC3E8094}">
  <dimension ref="A1:K106"/>
  <sheetViews>
    <sheetView tabSelected="1" topLeftCell="A48" workbookViewId="0">
      <selection activeCell="A55" sqref="A55:K55"/>
    </sheetView>
  </sheetViews>
  <sheetFormatPr defaultRowHeight="14.5" x14ac:dyDescent="0.35"/>
  <cols>
    <col min="1" max="1" width="13.08984375" bestFit="1" customWidth="1"/>
    <col min="2" max="2" width="15.1796875" customWidth="1"/>
    <col min="3" max="3" width="14.1796875" customWidth="1"/>
    <col min="4" max="4" width="13.08984375" bestFit="1" customWidth="1"/>
    <col min="8" max="8" width="19.90625" customWidth="1"/>
    <col min="9" max="9" width="21" customWidth="1"/>
    <col min="10" max="10" width="41.36328125" customWidth="1"/>
  </cols>
  <sheetData>
    <row r="1" spans="1:10" x14ac:dyDescent="0.35">
      <c r="A1" s="38" t="s">
        <v>39</v>
      </c>
      <c r="B1" s="38"/>
      <c r="C1" s="38"/>
      <c r="D1" s="38"/>
      <c r="E1" s="38"/>
      <c r="F1" s="38"/>
      <c r="G1" s="38"/>
      <c r="H1" s="38"/>
      <c r="I1" s="38"/>
      <c r="J1" s="38"/>
    </row>
    <row r="2" spans="1:10" x14ac:dyDescent="0.35">
      <c r="A2" s="31" t="s">
        <v>0</v>
      </c>
      <c r="B2" s="31" t="s">
        <v>14</v>
      </c>
      <c r="C2" s="32" t="s">
        <v>1</v>
      </c>
      <c r="D2" s="32" t="s">
        <v>32</v>
      </c>
      <c r="E2" s="33"/>
    </row>
    <row r="3" spans="1:10" x14ac:dyDescent="0.35">
      <c r="A3" s="34">
        <v>44470</v>
      </c>
      <c r="B3" s="24" t="s">
        <v>2</v>
      </c>
      <c r="C3" s="35">
        <v>2300</v>
      </c>
      <c r="D3" s="40" t="s">
        <v>33</v>
      </c>
      <c r="E3" s="33"/>
    </row>
    <row r="4" spans="1:10" x14ac:dyDescent="0.35">
      <c r="A4" s="36">
        <v>44470</v>
      </c>
      <c r="B4" s="23" t="s">
        <v>3</v>
      </c>
      <c r="C4" s="35">
        <v>767</v>
      </c>
      <c r="D4" s="40" t="s">
        <v>34</v>
      </c>
      <c r="E4" s="33"/>
    </row>
    <row r="5" spans="1:10" x14ac:dyDescent="0.35">
      <c r="A5" s="36">
        <v>44470</v>
      </c>
      <c r="B5" s="23" t="s">
        <v>4</v>
      </c>
      <c r="C5" s="37">
        <v>2500</v>
      </c>
      <c r="D5" s="40" t="s">
        <v>34</v>
      </c>
      <c r="E5" s="33"/>
    </row>
    <row r="6" spans="1:10" x14ac:dyDescent="0.35">
      <c r="A6" s="36">
        <v>44473</v>
      </c>
      <c r="B6" s="23" t="s">
        <v>5</v>
      </c>
      <c r="C6" s="35">
        <v>710</v>
      </c>
      <c r="D6" s="40" t="s">
        <v>33</v>
      </c>
      <c r="E6" s="33"/>
    </row>
    <row r="7" spans="1:10" x14ac:dyDescent="0.35">
      <c r="A7" s="34">
        <v>44473</v>
      </c>
      <c r="B7" s="24" t="s">
        <v>6</v>
      </c>
      <c r="C7" s="35">
        <v>760</v>
      </c>
      <c r="D7" s="40" t="s">
        <v>34</v>
      </c>
      <c r="E7" s="33"/>
    </row>
    <row r="8" spans="1:10" x14ac:dyDescent="0.35">
      <c r="A8" s="36">
        <v>44476</v>
      </c>
      <c r="B8" s="23" t="s">
        <v>10</v>
      </c>
      <c r="C8" s="37">
        <v>1900</v>
      </c>
      <c r="D8" s="40" t="s">
        <v>34</v>
      </c>
      <c r="E8" s="33"/>
    </row>
    <row r="9" spans="1:10" x14ac:dyDescent="0.35">
      <c r="A9" s="34">
        <v>44477</v>
      </c>
      <c r="B9" s="24" t="s">
        <v>7</v>
      </c>
      <c r="C9" s="35">
        <v>450</v>
      </c>
      <c r="D9" s="40" t="s">
        <v>34</v>
      </c>
      <c r="E9" s="33"/>
    </row>
    <row r="10" spans="1:10" x14ac:dyDescent="0.35">
      <c r="A10" s="36">
        <v>44484</v>
      </c>
      <c r="B10" s="23" t="s">
        <v>8</v>
      </c>
      <c r="C10" s="35">
        <v>620</v>
      </c>
      <c r="D10" s="40" t="s">
        <v>34</v>
      </c>
      <c r="E10" s="33"/>
    </row>
    <row r="11" spans="1:10" x14ac:dyDescent="0.35">
      <c r="A11" s="36">
        <v>44485</v>
      </c>
      <c r="B11" s="23" t="s">
        <v>11</v>
      </c>
      <c r="C11" s="35">
        <v>470</v>
      </c>
      <c r="D11" s="40" t="s">
        <v>33</v>
      </c>
      <c r="E11" s="33"/>
    </row>
    <row r="12" spans="1:10" x14ac:dyDescent="0.35">
      <c r="A12" s="36">
        <v>44487</v>
      </c>
      <c r="B12" s="23" t="s">
        <v>3</v>
      </c>
      <c r="C12" s="35">
        <v>970</v>
      </c>
      <c r="D12" s="40" t="s">
        <v>34</v>
      </c>
      <c r="E12" s="33"/>
    </row>
    <row r="13" spans="1:10" x14ac:dyDescent="0.35">
      <c r="A13" s="36">
        <v>44487</v>
      </c>
      <c r="B13" s="24" t="s">
        <v>2</v>
      </c>
      <c r="C13" s="37">
        <v>1075</v>
      </c>
      <c r="D13" s="40" t="s">
        <v>33</v>
      </c>
      <c r="E13" s="33"/>
    </row>
    <row r="14" spans="1:10" x14ac:dyDescent="0.35">
      <c r="A14" s="36">
        <v>44488</v>
      </c>
      <c r="B14" s="23" t="s">
        <v>7</v>
      </c>
      <c r="C14" s="35">
        <v>489</v>
      </c>
      <c r="D14" s="40" t="s">
        <v>34</v>
      </c>
      <c r="E14" s="33"/>
    </row>
    <row r="15" spans="1:10" x14ac:dyDescent="0.35">
      <c r="A15" s="36">
        <v>44491</v>
      </c>
      <c r="B15" s="23" t="s">
        <v>4</v>
      </c>
      <c r="C15" s="37">
        <v>1574.1</v>
      </c>
      <c r="D15" s="40" t="s">
        <v>34</v>
      </c>
      <c r="E15" s="33"/>
    </row>
    <row r="16" spans="1:10" x14ac:dyDescent="0.35">
      <c r="A16" s="36">
        <v>44491</v>
      </c>
      <c r="B16" s="23" t="s">
        <v>6</v>
      </c>
      <c r="C16" s="35">
        <v>550</v>
      </c>
      <c r="D16" s="40" t="s">
        <v>34</v>
      </c>
      <c r="E16" s="33"/>
    </row>
    <row r="17" spans="1:5" x14ac:dyDescent="0.35">
      <c r="A17" s="36">
        <v>44494</v>
      </c>
      <c r="B17" s="23" t="s">
        <v>9</v>
      </c>
      <c r="C17" s="35">
        <v>423</v>
      </c>
      <c r="D17" s="40" t="s">
        <v>33</v>
      </c>
      <c r="E17" s="33"/>
    </row>
    <row r="18" spans="1:5" x14ac:dyDescent="0.35">
      <c r="A18" s="36">
        <v>44496</v>
      </c>
      <c r="B18" s="23" t="s">
        <v>9</v>
      </c>
      <c r="C18" s="35">
        <v>358.22</v>
      </c>
      <c r="D18" s="40" t="s">
        <v>33</v>
      </c>
      <c r="E18" s="33"/>
    </row>
    <row r="19" spans="1:5" x14ac:dyDescent="0.35">
      <c r="A19" s="36">
        <v>44496</v>
      </c>
      <c r="B19" s="23" t="s">
        <v>8</v>
      </c>
      <c r="C19" s="35">
        <v>520</v>
      </c>
      <c r="D19" s="40" t="s">
        <v>34</v>
      </c>
      <c r="E19" s="33"/>
    </row>
    <row r="20" spans="1:5" x14ac:dyDescent="0.35">
      <c r="A20" s="34">
        <v>44497</v>
      </c>
      <c r="B20" s="24" t="s">
        <v>5</v>
      </c>
      <c r="C20" s="35">
        <v>300</v>
      </c>
      <c r="D20" s="40" t="s">
        <v>33</v>
      </c>
      <c r="E20" s="33"/>
    </row>
    <row r="21" spans="1:5" x14ac:dyDescent="0.35">
      <c r="A21" s="34">
        <v>44498</v>
      </c>
      <c r="B21" s="24" t="s">
        <v>9</v>
      </c>
      <c r="C21" s="35">
        <v>407.05</v>
      </c>
      <c r="D21" s="40" t="s">
        <v>33</v>
      </c>
      <c r="E21" s="33"/>
    </row>
    <row r="22" spans="1:5" x14ac:dyDescent="0.35">
      <c r="A22" s="34">
        <v>44499</v>
      </c>
      <c r="B22" s="24" t="s">
        <v>4</v>
      </c>
      <c r="C22" s="35">
        <v>300</v>
      </c>
      <c r="D22" s="40" t="s">
        <v>34</v>
      </c>
      <c r="E22" s="33"/>
    </row>
    <row r="23" spans="1:5" x14ac:dyDescent="0.35">
      <c r="A23" s="36">
        <v>44501</v>
      </c>
      <c r="B23" s="23" t="s">
        <v>3</v>
      </c>
      <c r="C23" s="37">
        <v>2327</v>
      </c>
      <c r="D23" s="40" t="s">
        <v>34</v>
      </c>
      <c r="E23" s="33"/>
    </row>
    <row r="24" spans="1:5" x14ac:dyDescent="0.35">
      <c r="A24" s="36">
        <v>44502</v>
      </c>
      <c r="B24" s="23" t="s">
        <v>10</v>
      </c>
      <c r="C24" s="35">
        <v>1150</v>
      </c>
      <c r="D24" s="40" t="s">
        <v>34</v>
      </c>
      <c r="E24" s="33"/>
    </row>
    <row r="25" spans="1:5" x14ac:dyDescent="0.35">
      <c r="A25" s="36">
        <v>44504</v>
      </c>
      <c r="B25" s="23" t="s">
        <v>10</v>
      </c>
      <c r="C25" s="37">
        <v>1138</v>
      </c>
      <c r="D25" s="40" t="s">
        <v>34</v>
      </c>
      <c r="E25" s="33"/>
    </row>
    <row r="26" spans="1:5" x14ac:dyDescent="0.35">
      <c r="A26" s="34">
        <v>44505</v>
      </c>
      <c r="B26" s="24" t="s">
        <v>13</v>
      </c>
      <c r="C26" s="35">
        <v>500</v>
      </c>
      <c r="D26" s="40" t="s">
        <v>34</v>
      </c>
      <c r="E26" s="33"/>
    </row>
    <row r="27" spans="1:5" x14ac:dyDescent="0.35">
      <c r="A27" s="34">
        <v>44508</v>
      </c>
      <c r="B27" s="24" t="s">
        <v>6</v>
      </c>
      <c r="C27" s="35">
        <v>702</v>
      </c>
      <c r="D27" s="40" t="s">
        <v>34</v>
      </c>
      <c r="E27" s="33"/>
    </row>
    <row r="28" spans="1:5" x14ac:dyDescent="0.35">
      <c r="A28" s="36">
        <v>44509</v>
      </c>
      <c r="B28" s="23" t="s">
        <v>4</v>
      </c>
      <c r="C28" s="37">
        <v>1600</v>
      </c>
      <c r="D28" s="40" t="s">
        <v>34</v>
      </c>
      <c r="E28" s="33"/>
    </row>
    <row r="29" spans="1:5" x14ac:dyDescent="0.35">
      <c r="A29" s="36">
        <v>44512</v>
      </c>
      <c r="B29" s="23" t="s">
        <v>5</v>
      </c>
      <c r="C29" s="35">
        <v>600</v>
      </c>
      <c r="D29" s="40" t="s">
        <v>33</v>
      </c>
      <c r="E29" s="33"/>
    </row>
    <row r="30" spans="1:5" x14ac:dyDescent="0.35">
      <c r="A30" s="34">
        <v>44515</v>
      </c>
      <c r="B30" s="24" t="s">
        <v>13</v>
      </c>
      <c r="C30" s="35">
        <v>900</v>
      </c>
      <c r="D30" s="40" t="s">
        <v>34</v>
      </c>
      <c r="E30" s="33"/>
    </row>
    <row r="31" spans="1:5" x14ac:dyDescent="0.35">
      <c r="A31" s="36">
        <v>44515</v>
      </c>
      <c r="B31" s="24" t="s">
        <v>6</v>
      </c>
      <c r="C31" s="35">
        <v>150</v>
      </c>
      <c r="D31" s="40" t="s">
        <v>34</v>
      </c>
      <c r="E31" s="33"/>
    </row>
    <row r="32" spans="1:5" x14ac:dyDescent="0.35">
      <c r="A32" s="34">
        <v>44515</v>
      </c>
      <c r="B32" s="24" t="s">
        <v>2</v>
      </c>
      <c r="C32" s="35">
        <v>2100</v>
      </c>
      <c r="D32" s="40" t="s">
        <v>33</v>
      </c>
      <c r="E32" s="33"/>
    </row>
    <row r="33" spans="1:5" x14ac:dyDescent="0.35">
      <c r="A33" s="34">
        <v>44517</v>
      </c>
      <c r="B33" s="24" t="s">
        <v>11</v>
      </c>
      <c r="C33" s="35">
        <v>470.63</v>
      </c>
      <c r="D33" s="40" t="s">
        <v>33</v>
      </c>
      <c r="E33" s="33"/>
    </row>
    <row r="34" spans="1:5" x14ac:dyDescent="0.35">
      <c r="A34" s="34">
        <v>44517</v>
      </c>
      <c r="B34" s="24" t="s">
        <v>9</v>
      </c>
      <c r="C34" s="35">
        <v>322.64</v>
      </c>
      <c r="D34" s="40" t="s">
        <v>33</v>
      </c>
      <c r="E34" s="33"/>
    </row>
    <row r="35" spans="1:5" x14ac:dyDescent="0.35">
      <c r="A35" s="34">
        <v>44518</v>
      </c>
      <c r="B35" s="23" t="s">
        <v>8</v>
      </c>
      <c r="C35" s="35">
        <v>428</v>
      </c>
      <c r="D35" s="40" t="s">
        <v>34</v>
      </c>
      <c r="E35" s="33"/>
    </row>
    <row r="36" spans="1:5" x14ac:dyDescent="0.35">
      <c r="A36" s="34">
        <v>44519</v>
      </c>
      <c r="B36" s="24" t="s">
        <v>5</v>
      </c>
      <c r="C36" s="35">
        <v>447</v>
      </c>
      <c r="D36" s="40" t="s">
        <v>33</v>
      </c>
      <c r="E36" s="33"/>
    </row>
    <row r="37" spans="1:5" x14ac:dyDescent="0.35">
      <c r="A37" s="34">
        <v>44522</v>
      </c>
      <c r="B37" s="24" t="s">
        <v>4</v>
      </c>
      <c r="C37" s="37">
        <v>1720</v>
      </c>
      <c r="D37" s="40" t="s">
        <v>34</v>
      </c>
      <c r="E37" s="33"/>
    </row>
    <row r="38" spans="1:5" x14ac:dyDescent="0.35">
      <c r="A38" s="36">
        <v>44524</v>
      </c>
      <c r="B38" s="23" t="s">
        <v>6</v>
      </c>
      <c r="C38" s="35">
        <v>540</v>
      </c>
      <c r="D38" s="40" t="s">
        <v>34</v>
      </c>
      <c r="E38" s="33"/>
    </row>
    <row r="39" spans="1:5" x14ac:dyDescent="0.35">
      <c r="A39" s="34">
        <v>44525</v>
      </c>
      <c r="B39" s="24" t="s">
        <v>7</v>
      </c>
      <c r="C39" s="35">
        <v>314</v>
      </c>
      <c r="D39" s="40" t="s">
        <v>34</v>
      </c>
      <c r="E39" s="33"/>
    </row>
    <row r="40" spans="1:5" x14ac:dyDescent="0.35">
      <c r="A40" s="34">
        <v>44526</v>
      </c>
      <c r="B40" s="24" t="s">
        <v>8</v>
      </c>
      <c r="C40" s="35">
        <v>518</v>
      </c>
      <c r="D40" s="40" t="s">
        <v>34</v>
      </c>
      <c r="E40" s="33"/>
    </row>
    <row r="41" spans="1:5" x14ac:dyDescent="0.35">
      <c r="A41" s="34">
        <v>44526</v>
      </c>
      <c r="B41" s="23" t="s">
        <v>3</v>
      </c>
      <c r="C41" s="37">
        <v>2000</v>
      </c>
      <c r="D41" s="40" t="s">
        <v>34</v>
      </c>
      <c r="E41" s="33"/>
    </row>
    <row r="42" spans="1:5" x14ac:dyDescent="0.35">
      <c r="A42" s="36">
        <v>44529</v>
      </c>
      <c r="B42" s="23" t="s">
        <v>7</v>
      </c>
      <c r="C42" s="35">
        <v>337</v>
      </c>
      <c r="D42" s="40" t="s">
        <v>34</v>
      </c>
      <c r="E42" s="33"/>
    </row>
    <row r="43" spans="1:5" x14ac:dyDescent="0.35">
      <c r="A43" s="34">
        <v>44530</v>
      </c>
      <c r="B43" s="24" t="s">
        <v>8</v>
      </c>
      <c r="C43" s="35">
        <v>500</v>
      </c>
      <c r="D43" s="40" t="s">
        <v>34</v>
      </c>
      <c r="E43" s="33"/>
    </row>
    <row r="44" spans="1:5" x14ac:dyDescent="0.35">
      <c r="A44" s="34">
        <v>44531</v>
      </c>
      <c r="B44" s="24" t="s">
        <v>4</v>
      </c>
      <c r="C44" s="37">
        <v>2500</v>
      </c>
      <c r="D44" s="40" t="s">
        <v>34</v>
      </c>
      <c r="E44" s="33"/>
    </row>
    <row r="45" spans="1:5" x14ac:dyDescent="0.35">
      <c r="A45" s="36">
        <v>44534</v>
      </c>
      <c r="B45" s="23" t="s">
        <v>5</v>
      </c>
      <c r="C45" s="35">
        <v>710</v>
      </c>
      <c r="D45" s="40" t="s">
        <v>33</v>
      </c>
      <c r="E45" s="33"/>
    </row>
    <row r="46" spans="1:5" x14ac:dyDescent="0.35">
      <c r="A46" s="34">
        <v>44537</v>
      </c>
      <c r="B46" s="24" t="s">
        <v>2</v>
      </c>
      <c r="C46" s="35">
        <v>2300</v>
      </c>
      <c r="D46" s="40" t="s">
        <v>33</v>
      </c>
      <c r="E46" s="33"/>
    </row>
    <row r="47" spans="1:5" x14ac:dyDescent="0.35">
      <c r="A47" s="34">
        <v>44539</v>
      </c>
      <c r="B47" s="24" t="s">
        <v>12</v>
      </c>
      <c r="C47" s="35">
        <v>12000</v>
      </c>
      <c r="D47" s="40" t="s">
        <v>34</v>
      </c>
      <c r="E47" s="33"/>
    </row>
    <row r="48" spans="1:5" x14ac:dyDescent="0.35">
      <c r="A48" s="34">
        <v>44545</v>
      </c>
      <c r="B48" s="23" t="s">
        <v>10</v>
      </c>
      <c r="C48" s="35">
        <v>1500</v>
      </c>
      <c r="D48" s="40" t="s">
        <v>34</v>
      </c>
      <c r="E48" s="33"/>
    </row>
    <row r="49" spans="1:11" x14ac:dyDescent="0.35">
      <c r="A49" s="34">
        <v>44547</v>
      </c>
      <c r="B49" s="24" t="s">
        <v>11</v>
      </c>
      <c r="C49" s="35">
        <v>470.63</v>
      </c>
      <c r="D49" s="40" t="s">
        <v>33</v>
      </c>
      <c r="E49" s="33"/>
    </row>
    <row r="50" spans="1:11" x14ac:dyDescent="0.35">
      <c r="A50" s="34">
        <v>44550</v>
      </c>
      <c r="B50" s="24" t="s">
        <v>7</v>
      </c>
      <c r="C50" s="35">
        <v>267</v>
      </c>
      <c r="D50" s="40" t="s">
        <v>34</v>
      </c>
      <c r="E50" s="33"/>
    </row>
    <row r="51" spans="1:11" x14ac:dyDescent="0.35">
      <c r="A51" s="34">
        <v>44553</v>
      </c>
      <c r="B51" s="24" t="s">
        <v>6</v>
      </c>
      <c r="C51" s="35">
        <v>640</v>
      </c>
      <c r="D51" s="40" t="s">
        <v>34</v>
      </c>
      <c r="E51" s="33"/>
    </row>
    <row r="52" spans="1:11" x14ac:dyDescent="0.35">
      <c r="A52" s="34">
        <v>44553</v>
      </c>
      <c r="B52" s="24" t="s">
        <v>5</v>
      </c>
      <c r="C52" s="35">
        <v>450</v>
      </c>
      <c r="D52" s="40" t="s">
        <v>33</v>
      </c>
      <c r="E52" s="33"/>
    </row>
    <row r="53" spans="1:11" ht="31" x14ac:dyDescent="0.35">
      <c r="A53" s="2"/>
      <c r="B53" s="33"/>
      <c r="C53" s="11">
        <f>SUM(C3:C52)</f>
        <v>57045.27</v>
      </c>
      <c r="D53" s="33"/>
      <c r="E53" s="33"/>
    </row>
    <row r="55" spans="1:11" x14ac:dyDescent="0.35">
      <c r="A55" s="39" t="s">
        <v>40</v>
      </c>
      <c r="B55" s="39"/>
      <c r="C55" s="39"/>
      <c r="D55" s="39"/>
      <c r="E55" s="39"/>
      <c r="F55" s="39"/>
      <c r="G55" s="39"/>
      <c r="H55" s="39"/>
      <c r="I55" s="39"/>
      <c r="J55" s="39"/>
      <c r="K55" s="39"/>
    </row>
    <row r="56" spans="1:11" x14ac:dyDescent="0.35">
      <c r="A56" s="31" t="s">
        <v>14</v>
      </c>
      <c r="B56" s="32" t="s">
        <v>1</v>
      </c>
      <c r="C56" s="32" t="s">
        <v>35</v>
      </c>
    </row>
    <row r="57" spans="1:11" x14ac:dyDescent="0.35">
      <c r="A57" s="24" t="s">
        <v>2</v>
      </c>
      <c r="B57" s="35">
        <v>2300</v>
      </c>
      <c r="C57" s="41" t="str">
        <f>IF(B57&gt;2000,"over budget","within budget")</f>
        <v>over budget</v>
      </c>
    </row>
    <row r="58" spans="1:11" x14ac:dyDescent="0.35">
      <c r="A58" s="23" t="s">
        <v>3</v>
      </c>
      <c r="B58" s="35">
        <v>767</v>
      </c>
      <c r="C58" s="41" t="str">
        <f t="shared" ref="C58:C106" si="0">IF(B58&gt;2000,"over budget","within budget")</f>
        <v>within budget</v>
      </c>
    </row>
    <row r="59" spans="1:11" x14ac:dyDescent="0.35">
      <c r="A59" s="23" t="s">
        <v>4</v>
      </c>
      <c r="B59" s="37">
        <v>2500</v>
      </c>
      <c r="C59" s="41" t="str">
        <f t="shared" si="0"/>
        <v>over budget</v>
      </c>
    </row>
    <row r="60" spans="1:11" x14ac:dyDescent="0.35">
      <c r="A60" s="23" t="s">
        <v>5</v>
      </c>
      <c r="B60" s="35">
        <v>710</v>
      </c>
      <c r="C60" s="41" t="str">
        <f t="shared" si="0"/>
        <v>within budget</v>
      </c>
    </row>
    <row r="61" spans="1:11" x14ac:dyDescent="0.35">
      <c r="A61" s="24" t="s">
        <v>6</v>
      </c>
      <c r="B61" s="35">
        <v>760</v>
      </c>
      <c r="C61" s="41" t="str">
        <f t="shared" si="0"/>
        <v>within budget</v>
      </c>
    </row>
    <row r="62" spans="1:11" x14ac:dyDescent="0.35">
      <c r="A62" s="23" t="s">
        <v>10</v>
      </c>
      <c r="B62" s="37">
        <v>1900</v>
      </c>
      <c r="C62" s="41" t="str">
        <f t="shared" si="0"/>
        <v>within budget</v>
      </c>
    </row>
    <row r="63" spans="1:11" x14ac:dyDescent="0.35">
      <c r="A63" s="24" t="s">
        <v>7</v>
      </c>
      <c r="B63" s="35">
        <v>450</v>
      </c>
      <c r="C63" s="41" t="str">
        <f t="shared" si="0"/>
        <v>within budget</v>
      </c>
    </row>
    <row r="64" spans="1:11" x14ac:dyDescent="0.35">
      <c r="A64" s="23" t="s">
        <v>8</v>
      </c>
      <c r="B64" s="35">
        <v>620</v>
      </c>
      <c r="C64" s="41" t="str">
        <f t="shared" si="0"/>
        <v>within budget</v>
      </c>
    </row>
    <row r="65" spans="1:3" x14ac:dyDescent="0.35">
      <c r="A65" s="23" t="s">
        <v>11</v>
      </c>
      <c r="B65" s="35">
        <v>470</v>
      </c>
      <c r="C65" s="41" t="str">
        <f t="shared" si="0"/>
        <v>within budget</v>
      </c>
    </row>
    <row r="66" spans="1:3" x14ac:dyDescent="0.35">
      <c r="A66" s="23" t="s">
        <v>3</v>
      </c>
      <c r="B66" s="35">
        <v>970</v>
      </c>
      <c r="C66" s="41" t="str">
        <f t="shared" si="0"/>
        <v>within budget</v>
      </c>
    </row>
    <row r="67" spans="1:3" x14ac:dyDescent="0.35">
      <c r="A67" s="24" t="s">
        <v>2</v>
      </c>
      <c r="B67" s="37">
        <v>1075</v>
      </c>
      <c r="C67" s="41" t="str">
        <f t="shared" si="0"/>
        <v>within budget</v>
      </c>
    </row>
    <row r="68" spans="1:3" x14ac:dyDescent="0.35">
      <c r="A68" s="23" t="s">
        <v>7</v>
      </c>
      <c r="B68" s="35">
        <v>489</v>
      </c>
      <c r="C68" s="41" t="str">
        <f t="shared" si="0"/>
        <v>within budget</v>
      </c>
    </row>
    <row r="69" spans="1:3" x14ac:dyDescent="0.35">
      <c r="A69" s="23" t="s">
        <v>4</v>
      </c>
      <c r="B69" s="37">
        <v>1574.1</v>
      </c>
      <c r="C69" s="41" t="str">
        <f t="shared" si="0"/>
        <v>within budget</v>
      </c>
    </row>
    <row r="70" spans="1:3" x14ac:dyDescent="0.35">
      <c r="A70" s="23" t="s">
        <v>6</v>
      </c>
      <c r="B70" s="35">
        <v>550</v>
      </c>
      <c r="C70" s="41" t="str">
        <f t="shared" si="0"/>
        <v>within budget</v>
      </c>
    </row>
    <row r="71" spans="1:3" x14ac:dyDescent="0.35">
      <c r="A71" s="23" t="s">
        <v>9</v>
      </c>
      <c r="B71" s="35">
        <v>423</v>
      </c>
      <c r="C71" s="41" t="str">
        <f t="shared" si="0"/>
        <v>within budget</v>
      </c>
    </row>
    <row r="72" spans="1:3" x14ac:dyDescent="0.35">
      <c r="A72" s="23" t="s">
        <v>9</v>
      </c>
      <c r="B72" s="35">
        <v>358.22</v>
      </c>
      <c r="C72" s="41" t="str">
        <f t="shared" si="0"/>
        <v>within budget</v>
      </c>
    </row>
    <row r="73" spans="1:3" x14ac:dyDescent="0.35">
      <c r="A73" s="23" t="s">
        <v>8</v>
      </c>
      <c r="B73" s="35">
        <v>520</v>
      </c>
      <c r="C73" s="41" t="str">
        <f t="shared" si="0"/>
        <v>within budget</v>
      </c>
    </row>
    <row r="74" spans="1:3" x14ac:dyDescent="0.35">
      <c r="A74" s="24" t="s">
        <v>5</v>
      </c>
      <c r="B74" s="35">
        <v>300</v>
      </c>
      <c r="C74" s="41" t="str">
        <f t="shared" si="0"/>
        <v>within budget</v>
      </c>
    </row>
    <row r="75" spans="1:3" x14ac:dyDescent="0.35">
      <c r="A75" s="24" t="s">
        <v>9</v>
      </c>
      <c r="B75" s="35">
        <v>407.05</v>
      </c>
      <c r="C75" s="41" t="str">
        <f t="shared" si="0"/>
        <v>within budget</v>
      </c>
    </row>
    <row r="76" spans="1:3" x14ac:dyDescent="0.35">
      <c r="A76" s="24" t="s">
        <v>4</v>
      </c>
      <c r="B76" s="35">
        <v>300</v>
      </c>
      <c r="C76" s="41" t="str">
        <f t="shared" si="0"/>
        <v>within budget</v>
      </c>
    </row>
    <row r="77" spans="1:3" x14ac:dyDescent="0.35">
      <c r="A77" s="23" t="s">
        <v>3</v>
      </c>
      <c r="B77" s="37">
        <v>2327</v>
      </c>
      <c r="C77" s="41" t="str">
        <f t="shared" si="0"/>
        <v>over budget</v>
      </c>
    </row>
    <row r="78" spans="1:3" x14ac:dyDescent="0.35">
      <c r="A78" s="23" t="s">
        <v>10</v>
      </c>
      <c r="B78" s="35">
        <v>1150</v>
      </c>
      <c r="C78" s="41" t="str">
        <f t="shared" si="0"/>
        <v>within budget</v>
      </c>
    </row>
    <row r="79" spans="1:3" x14ac:dyDescent="0.35">
      <c r="A79" s="23" t="s">
        <v>10</v>
      </c>
      <c r="B79" s="37">
        <v>1138</v>
      </c>
      <c r="C79" s="41" t="str">
        <f t="shared" si="0"/>
        <v>within budget</v>
      </c>
    </row>
    <row r="80" spans="1:3" x14ac:dyDescent="0.35">
      <c r="A80" s="24" t="s">
        <v>13</v>
      </c>
      <c r="B80" s="35">
        <v>500</v>
      </c>
      <c r="C80" s="41" t="str">
        <f t="shared" si="0"/>
        <v>within budget</v>
      </c>
    </row>
    <row r="81" spans="1:3" x14ac:dyDescent="0.35">
      <c r="A81" s="24" t="s">
        <v>6</v>
      </c>
      <c r="B81" s="35">
        <v>702</v>
      </c>
      <c r="C81" s="41" t="str">
        <f t="shared" si="0"/>
        <v>within budget</v>
      </c>
    </row>
    <row r="82" spans="1:3" x14ac:dyDescent="0.35">
      <c r="A82" s="23" t="s">
        <v>4</v>
      </c>
      <c r="B82" s="37">
        <v>1600</v>
      </c>
      <c r="C82" s="41" t="str">
        <f t="shared" si="0"/>
        <v>within budget</v>
      </c>
    </row>
    <row r="83" spans="1:3" x14ac:dyDescent="0.35">
      <c r="A83" s="23" t="s">
        <v>5</v>
      </c>
      <c r="B83" s="35">
        <v>600</v>
      </c>
      <c r="C83" s="41" t="str">
        <f t="shared" si="0"/>
        <v>within budget</v>
      </c>
    </row>
    <row r="84" spans="1:3" x14ac:dyDescent="0.35">
      <c r="A84" s="24" t="s">
        <v>13</v>
      </c>
      <c r="B84" s="35">
        <v>900</v>
      </c>
      <c r="C84" s="41" t="str">
        <f t="shared" si="0"/>
        <v>within budget</v>
      </c>
    </row>
    <row r="85" spans="1:3" x14ac:dyDescent="0.35">
      <c r="A85" s="24" t="s">
        <v>6</v>
      </c>
      <c r="B85" s="35">
        <v>150</v>
      </c>
      <c r="C85" s="41" t="str">
        <f t="shared" si="0"/>
        <v>within budget</v>
      </c>
    </row>
    <row r="86" spans="1:3" x14ac:dyDescent="0.35">
      <c r="A86" s="24" t="s">
        <v>2</v>
      </c>
      <c r="B86" s="35">
        <v>2100</v>
      </c>
      <c r="C86" s="41" t="str">
        <f t="shared" si="0"/>
        <v>over budget</v>
      </c>
    </row>
    <row r="87" spans="1:3" x14ac:dyDescent="0.35">
      <c r="A87" s="24" t="s">
        <v>11</v>
      </c>
      <c r="B87" s="35">
        <v>470.63</v>
      </c>
      <c r="C87" s="41" t="str">
        <f t="shared" si="0"/>
        <v>within budget</v>
      </c>
    </row>
    <row r="88" spans="1:3" x14ac:dyDescent="0.35">
      <c r="A88" s="24" t="s">
        <v>9</v>
      </c>
      <c r="B88" s="35">
        <v>322.64</v>
      </c>
      <c r="C88" s="41" t="str">
        <f t="shared" si="0"/>
        <v>within budget</v>
      </c>
    </row>
    <row r="89" spans="1:3" x14ac:dyDescent="0.35">
      <c r="A89" s="23" t="s">
        <v>8</v>
      </c>
      <c r="B89" s="35">
        <v>428</v>
      </c>
      <c r="C89" s="41" t="str">
        <f t="shared" si="0"/>
        <v>within budget</v>
      </c>
    </row>
    <row r="90" spans="1:3" x14ac:dyDescent="0.35">
      <c r="A90" s="24" t="s">
        <v>5</v>
      </c>
      <c r="B90" s="35">
        <v>447</v>
      </c>
      <c r="C90" s="41" t="str">
        <f t="shared" si="0"/>
        <v>within budget</v>
      </c>
    </row>
    <row r="91" spans="1:3" x14ac:dyDescent="0.35">
      <c r="A91" s="24" t="s">
        <v>4</v>
      </c>
      <c r="B91" s="37">
        <v>1720</v>
      </c>
      <c r="C91" s="41" t="str">
        <f t="shared" si="0"/>
        <v>within budget</v>
      </c>
    </row>
    <row r="92" spans="1:3" x14ac:dyDescent="0.35">
      <c r="A92" s="23" t="s">
        <v>6</v>
      </c>
      <c r="B92" s="35">
        <v>540</v>
      </c>
      <c r="C92" s="41" t="str">
        <f t="shared" si="0"/>
        <v>within budget</v>
      </c>
    </row>
    <row r="93" spans="1:3" x14ac:dyDescent="0.35">
      <c r="A93" s="24" t="s">
        <v>7</v>
      </c>
      <c r="B93" s="35">
        <v>314</v>
      </c>
      <c r="C93" s="41" t="str">
        <f t="shared" si="0"/>
        <v>within budget</v>
      </c>
    </row>
    <row r="94" spans="1:3" x14ac:dyDescent="0.35">
      <c r="A94" s="24" t="s">
        <v>8</v>
      </c>
      <c r="B94" s="35">
        <v>518</v>
      </c>
      <c r="C94" s="41" t="str">
        <f t="shared" si="0"/>
        <v>within budget</v>
      </c>
    </row>
    <row r="95" spans="1:3" x14ac:dyDescent="0.35">
      <c r="A95" s="23" t="s">
        <v>3</v>
      </c>
      <c r="B95" s="37">
        <v>2000</v>
      </c>
      <c r="C95" s="41" t="str">
        <f t="shared" si="0"/>
        <v>within budget</v>
      </c>
    </row>
    <row r="96" spans="1:3" x14ac:dyDescent="0.35">
      <c r="A96" s="23" t="s">
        <v>7</v>
      </c>
      <c r="B96" s="35">
        <v>337</v>
      </c>
      <c r="C96" s="41" t="str">
        <f t="shared" si="0"/>
        <v>within budget</v>
      </c>
    </row>
    <row r="97" spans="1:3" x14ac:dyDescent="0.35">
      <c r="A97" s="24" t="s">
        <v>8</v>
      </c>
      <c r="B97" s="35">
        <v>500</v>
      </c>
      <c r="C97" s="41" t="str">
        <f t="shared" si="0"/>
        <v>within budget</v>
      </c>
    </row>
    <row r="98" spans="1:3" x14ac:dyDescent="0.35">
      <c r="A98" s="24" t="s">
        <v>4</v>
      </c>
      <c r="B98" s="37">
        <v>2500</v>
      </c>
      <c r="C98" s="41" t="str">
        <f t="shared" si="0"/>
        <v>over budget</v>
      </c>
    </row>
    <row r="99" spans="1:3" x14ac:dyDescent="0.35">
      <c r="A99" s="23" t="s">
        <v>5</v>
      </c>
      <c r="B99" s="35">
        <v>710</v>
      </c>
      <c r="C99" s="41" t="str">
        <f t="shared" si="0"/>
        <v>within budget</v>
      </c>
    </row>
    <row r="100" spans="1:3" x14ac:dyDescent="0.35">
      <c r="A100" s="24" t="s">
        <v>2</v>
      </c>
      <c r="B100" s="35">
        <v>2300</v>
      </c>
      <c r="C100" s="41" t="str">
        <f t="shared" si="0"/>
        <v>over budget</v>
      </c>
    </row>
    <row r="101" spans="1:3" x14ac:dyDescent="0.35">
      <c r="A101" s="24" t="s">
        <v>12</v>
      </c>
      <c r="B101" s="35">
        <v>12000</v>
      </c>
      <c r="C101" s="41" t="str">
        <f t="shared" si="0"/>
        <v>over budget</v>
      </c>
    </row>
    <row r="102" spans="1:3" x14ac:dyDescent="0.35">
      <c r="A102" s="23" t="s">
        <v>10</v>
      </c>
      <c r="B102" s="35">
        <v>1500</v>
      </c>
      <c r="C102" s="41" t="str">
        <f t="shared" si="0"/>
        <v>within budget</v>
      </c>
    </row>
    <row r="103" spans="1:3" x14ac:dyDescent="0.35">
      <c r="A103" s="24" t="s">
        <v>11</v>
      </c>
      <c r="B103" s="35">
        <v>470.63</v>
      </c>
      <c r="C103" s="41" t="str">
        <f t="shared" si="0"/>
        <v>within budget</v>
      </c>
    </row>
    <row r="104" spans="1:3" x14ac:dyDescent="0.35">
      <c r="A104" s="24" t="s">
        <v>7</v>
      </c>
      <c r="B104" s="35">
        <v>267</v>
      </c>
      <c r="C104" s="41" t="str">
        <f t="shared" si="0"/>
        <v>within budget</v>
      </c>
    </row>
    <row r="105" spans="1:3" x14ac:dyDescent="0.35">
      <c r="A105" s="24" t="s">
        <v>6</v>
      </c>
      <c r="B105" s="35">
        <v>640</v>
      </c>
      <c r="C105" s="41" t="str">
        <f t="shared" si="0"/>
        <v>within budget</v>
      </c>
    </row>
    <row r="106" spans="1:3" x14ac:dyDescent="0.35">
      <c r="A106" s="24" t="s">
        <v>5</v>
      </c>
      <c r="B106" s="35">
        <v>450</v>
      </c>
      <c r="C106" s="41" t="str">
        <f t="shared" si="0"/>
        <v>within budget</v>
      </c>
    </row>
  </sheetData>
  <mergeCells count="2">
    <mergeCell ref="A1:J1"/>
    <mergeCell ref="A55:K55"/>
  </mergeCells>
  <dataValidations count="1">
    <dataValidation type="list" allowBlank="1" showInputMessage="1" showErrorMessage="1" sqref="D3:D52" xr:uid="{64E7BE7B-6823-4610-9C8A-DE052723E4B0}">
      <formula1>"Essentials, Non-essentials"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5F8E3-73A2-4E9B-B4CF-C09F70FBC901}">
  <dimension ref="A1:I17"/>
  <sheetViews>
    <sheetView workbookViewId="0">
      <selection activeCell="O7" sqref="O7"/>
    </sheetView>
  </sheetViews>
  <sheetFormatPr defaultRowHeight="14.5" x14ac:dyDescent="0.35"/>
  <cols>
    <col min="2" max="2" width="22.54296875" bestFit="1" customWidth="1"/>
    <col min="4" max="4" width="9" customWidth="1"/>
  </cols>
  <sheetData>
    <row r="1" spans="1:9" x14ac:dyDescent="0.35">
      <c r="A1" s="26" t="s">
        <v>36</v>
      </c>
      <c r="B1" s="26"/>
      <c r="C1" s="26"/>
      <c r="D1" s="26"/>
      <c r="E1" s="26"/>
      <c r="F1" s="26"/>
      <c r="G1" s="26"/>
      <c r="H1" s="26"/>
      <c r="I1" s="26"/>
    </row>
    <row r="2" spans="1:9" x14ac:dyDescent="0.35">
      <c r="A2" s="26"/>
      <c r="B2" s="26"/>
      <c r="C2" s="26"/>
      <c r="D2" s="26"/>
      <c r="E2" s="26"/>
      <c r="F2" s="26"/>
      <c r="G2" s="26"/>
      <c r="H2" s="26"/>
      <c r="I2" s="26"/>
    </row>
    <row r="3" spans="1:9" x14ac:dyDescent="0.35">
      <c r="A3" s="26"/>
      <c r="B3" s="26"/>
      <c r="C3" s="26"/>
      <c r="D3" s="26"/>
      <c r="E3" s="26"/>
      <c r="F3" s="26"/>
      <c r="G3" s="26"/>
      <c r="H3" s="26"/>
      <c r="I3" s="26"/>
    </row>
    <row r="5" spans="1:9" x14ac:dyDescent="0.35">
      <c r="B5" s="27" t="s">
        <v>14</v>
      </c>
      <c r="C5" s="27" t="s">
        <v>37</v>
      </c>
      <c r="D5" s="27" t="s">
        <v>38</v>
      </c>
    </row>
    <row r="6" spans="1:9" x14ac:dyDescent="0.35">
      <c r="B6" s="28" t="s">
        <v>5</v>
      </c>
      <c r="C6" s="29">
        <v>3217</v>
      </c>
      <c r="D6" s="30">
        <f>C6/$C$17</f>
        <v>5.6393807935346783E-2</v>
      </c>
    </row>
    <row r="7" spans="1:9" x14ac:dyDescent="0.35">
      <c r="B7" s="28" t="s">
        <v>12</v>
      </c>
      <c r="C7" s="29">
        <v>12000</v>
      </c>
      <c r="D7" s="30">
        <f t="shared" ref="D7:D16" si="0">C7/$C$17</f>
        <v>0.2103592462617847</v>
      </c>
    </row>
    <row r="8" spans="1:9" x14ac:dyDescent="0.35">
      <c r="B8" s="28" t="s">
        <v>4</v>
      </c>
      <c r="C8" s="29">
        <v>10194.1</v>
      </c>
      <c r="D8" s="30">
        <f t="shared" si="0"/>
        <v>0.17870193269310497</v>
      </c>
    </row>
    <row r="9" spans="1:9" x14ac:dyDescent="0.35">
      <c r="B9" s="28" t="s">
        <v>7</v>
      </c>
      <c r="C9" s="29">
        <v>1857</v>
      </c>
      <c r="D9" s="30">
        <f t="shared" si="0"/>
        <v>3.255309335901118E-2</v>
      </c>
    </row>
    <row r="10" spans="1:9" x14ac:dyDescent="0.35">
      <c r="B10" s="28" t="s">
        <v>3</v>
      </c>
      <c r="C10" s="29">
        <v>7464</v>
      </c>
      <c r="D10" s="30">
        <f t="shared" si="0"/>
        <v>0.13084345117483009</v>
      </c>
    </row>
    <row r="11" spans="1:9" x14ac:dyDescent="0.35">
      <c r="B11" s="28" t="s">
        <v>8</v>
      </c>
      <c r="C11" s="29">
        <v>2586</v>
      </c>
      <c r="D11" s="30">
        <f t="shared" si="0"/>
        <v>4.5332417569414606E-2</v>
      </c>
    </row>
    <row r="12" spans="1:9" x14ac:dyDescent="0.35">
      <c r="B12" s="28" t="s">
        <v>11</v>
      </c>
      <c r="C12" s="29">
        <v>1411.26</v>
      </c>
      <c r="D12" s="30">
        <f t="shared" si="0"/>
        <v>2.4739299156617191E-2</v>
      </c>
    </row>
    <row r="13" spans="1:9" x14ac:dyDescent="0.35">
      <c r="B13" s="28" t="s">
        <v>2</v>
      </c>
      <c r="C13" s="29">
        <v>7775</v>
      </c>
      <c r="D13" s="30">
        <f t="shared" si="0"/>
        <v>0.136295261640448</v>
      </c>
    </row>
    <row r="14" spans="1:9" x14ac:dyDescent="0.35">
      <c r="B14" s="28" t="s">
        <v>10</v>
      </c>
      <c r="C14" s="29">
        <v>5688</v>
      </c>
      <c r="D14" s="30">
        <f t="shared" si="0"/>
        <v>9.971028272808595E-2</v>
      </c>
    </row>
    <row r="15" spans="1:9" x14ac:dyDescent="0.35">
      <c r="B15" s="28" t="s">
        <v>6</v>
      </c>
      <c r="C15" s="29">
        <v>3342</v>
      </c>
      <c r="D15" s="30">
        <f t="shared" si="0"/>
        <v>5.8585050083907041E-2</v>
      </c>
    </row>
    <row r="16" spans="1:9" x14ac:dyDescent="0.35">
      <c r="B16" s="28" t="s">
        <v>9</v>
      </c>
      <c r="C16" s="29">
        <v>1510.9099999999999</v>
      </c>
      <c r="D16" s="30">
        <f t="shared" si="0"/>
        <v>2.6486157397449424E-2</v>
      </c>
    </row>
    <row r="17" spans="2:3" x14ac:dyDescent="0.35">
      <c r="B17" s="25" t="s">
        <v>28</v>
      </c>
      <c r="C17">
        <f>SUM(C6:C16)</f>
        <v>57045.270000000004</v>
      </c>
    </row>
  </sheetData>
  <mergeCells count="1">
    <mergeCell ref="A1: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Expense</vt:lpstr>
      <vt:lpstr>Tasks</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Poulomi Paul</dc:creator>
  <cp:lastModifiedBy>Nitin Kanojiya</cp:lastModifiedBy>
  <dcterms:created xsi:type="dcterms:W3CDTF">2015-06-05T18:17:20Z</dcterms:created>
  <dcterms:modified xsi:type="dcterms:W3CDTF">2026-05-19T07:24:11Z</dcterms:modified>
</cp:coreProperties>
</file>