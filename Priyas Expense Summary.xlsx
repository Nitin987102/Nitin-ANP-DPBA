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madhu\Downloads\"/>
    </mc:Choice>
  </mc:AlternateContent>
  <xr:revisionPtr revIDLastSave="0" documentId="13_ncr:1_{74A323E4-9B40-4C66-AE5B-89B92FAD1716}" xr6:coauthVersionLast="47" xr6:coauthVersionMax="47" xr10:uidLastSave="{00000000-0000-0000-0000-000000000000}"/>
  <bookViews>
    <workbookView xWindow="-110" yWindow="-110" windowWidth="19420" windowHeight="10300" activeTab="2" xr2:uid="{00000000-000D-0000-FFFF-FFFF00000000}"/>
  </bookViews>
  <sheets>
    <sheet name="Expense" sheetId="1" r:id="rId1"/>
    <sheet name="Tasks" sheetId="2" r:id="rId2"/>
    <sheet name="Sheet1" sheetId="3" r:id="rId3"/>
    <sheet name="Sheet2" sheetId="4" r:id="rId4"/>
    <sheet name="Sheet3" sheetId="5" r:id="rId5"/>
  </sheets>
  <definedNames>
    <definedName name="_xlnm._FilterDatabase" localSheetId="0" hidden="1">Expense!$A$1:$D$51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5" l="1"/>
  <c r="C25" i="5"/>
  <c r="C23" i="5"/>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2" i="1"/>
  <c r="C57" i="4"/>
  <c r="D7" i="5"/>
  <c r="D8" i="5"/>
  <c r="D9" i="5"/>
  <c r="D10" i="5"/>
  <c r="D11" i="5"/>
  <c r="D12" i="5"/>
  <c r="D13" i="5"/>
  <c r="D14" i="5"/>
  <c r="D15" i="5"/>
  <c r="D16" i="5"/>
  <c r="D6" i="5"/>
  <c r="C17" i="5"/>
  <c r="E3" i="3"/>
  <c r="E4" i="3"/>
  <c r="E2" i="3"/>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53" i="4"/>
  <c r="E35" i="3"/>
  <c r="B35" i="3"/>
  <c r="B20" i="3"/>
  <c r="D52" i="1"/>
  <c r="E5" i="3" l="1"/>
</calcChain>
</file>

<file path=xl/sharedStrings.xml><?xml version="1.0" encoding="utf-8"?>
<sst xmlns="http://schemas.openxmlformats.org/spreadsheetml/2006/main" count="296" uniqueCount="47">
  <si>
    <t>Date</t>
  </si>
  <si>
    <t>Expense</t>
  </si>
  <si>
    <t>Medicine</t>
  </si>
  <si>
    <t>Online shopping</t>
  </si>
  <si>
    <t>Other essential items</t>
  </si>
  <si>
    <t>Vegetables &amp; Fruit</t>
  </si>
  <si>
    <t>Fish &amp; Chicken</t>
  </si>
  <si>
    <t>Ordering food</t>
  </si>
  <si>
    <t>Movie with friends</t>
  </si>
  <si>
    <t>Cab to office</t>
  </si>
  <si>
    <t>Gifts</t>
  </si>
  <si>
    <t>Mobile Bill Payment</t>
  </si>
  <si>
    <t>Trip</t>
  </si>
  <si>
    <t>Online Shopping</t>
  </si>
  <si>
    <t>Items</t>
  </si>
  <si>
    <t>How many times has Priya done transactions on online shopping, ordering food and gifts?</t>
  </si>
  <si>
    <t>Calculate the total expenses against each distinct item.</t>
  </si>
  <si>
    <t>Arrange the item-wise total expense in descending order.</t>
  </si>
  <si>
    <t>Present the item-wise total expense through a chart that shows the expense of each item as a percentage of the total expense. Don’t take trip expenses into consideration.</t>
  </si>
  <si>
    <t>Present the expense pattern visually over 3 months.</t>
  </si>
  <si>
    <t>Add a new column to the data table, name it as “Category” and apply data validation with drop-down fields as “Essentials” and “Non-essentials”. Fill in the column.</t>
  </si>
  <si>
    <t>Add another new column and name it as “Cost Type”. For each item, if the expense is more than 2000, tag it as “Over budget”, else, tag it as “Within budget”.</t>
  </si>
  <si>
    <t>Mention the ways how Priya can reduce her expenses. Justify each point.</t>
  </si>
  <si>
    <t>Task to Perform</t>
  </si>
  <si>
    <t>Total Expense</t>
  </si>
  <si>
    <t>Total Expenses</t>
  </si>
  <si>
    <t>Total</t>
  </si>
  <si>
    <t xml:space="preserve"> </t>
  </si>
  <si>
    <t>Q4: Add a new column to the data table, name it as “Category” and apply data validation with drop-down fields as “Essentials” and “Non-essentials”. Fill in the column.</t>
  </si>
  <si>
    <t>Category</t>
  </si>
  <si>
    <t>Essentials</t>
  </si>
  <si>
    <t>Non-essentials</t>
  </si>
  <si>
    <t>Cost Type</t>
  </si>
  <si>
    <t>Expenses</t>
  </si>
  <si>
    <t>Percentage</t>
  </si>
  <si>
    <t>Descending order</t>
  </si>
  <si>
    <t>Month</t>
  </si>
  <si>
    <t>October</t>
  </si>
  <si>
    <t>November</t>
  </si>
  <si>
    <t>December</t>
  </si>
  <si>
    <t>Q: Present the expense pattern visually over 3 months.</t>
  </si>
  <si>
    <t>Q: Present the item-wise total expense through a chart that shows the expense of each item as a percentage of the total expense. Don’t take trip expenses into consideration.</t>
  </si>
  <si>
    <t>Q: Add another new column and name it as “Cost Type”. For each item, if the expense is more than 2000, tag it as “Over budget”, else, tag it as “Within budget”.</t>
  </si>
  <si>
    <t>Q: Add a new column to the data table, name it as “Category” and apply data validation with drop-down fields as “Essentials” and “Non-essentials”. Fill in the column.</t>
  </si>
  <si>
    <t>Q: Arrange the item-wise total expense in descending order.</t>
  </si>
  <si>
    <t>Q: Calculate the total expenses against each distinct item.</t>
  </si>
  <si>
    <t>Q: How many times has Priya done transactions on online shopping, ordering food and gifts?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</si>
</sst>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b/>
      <sz val="11"/>
      <color rgb="FF003F81"/>
      <name val="Verdana"/>
      <family val="2"/>
    </font>
    <font>
      <sz val="11"/>
      <color rgb="FF000000"/>
      <name val="Verdana"/>
      <family val="2"/>
    </font>
    <font>
      <sz val="24"/>
      <color theme="1"/>
      <name val="Calibri"/>
      <family val="2"/>
      <scheme val="minor"/>
    </font>
    <font>
      <b/>
      <sz val="11"/>
      <color theme="1"/>
      <name val="Calibri"/>
      <family val="2"/>
      <scheme val="minor"/>
    </font>
    <font>
      <b/>
      <sz val="11"/>
      <color rgb="FF000000"/>
      <name val="Verdana"/>
      <family val="2"/>
    </font>
    <font>
      <sz val="11"/>
      <color theme="1"/>
      <name val="Calibri"/>
      <family val="2"/>
      <scheme val="minor"/>
    </font>
    <font>
      <b/>
      <sz val="11"/>
      <color theme="4"/>
      <name val="Calibri"/>
      <family val="2"/>
      <scheme val="minor"/>
    </font>
    <font>
      <sz val="11"/>
      <color theme="5" tint="-0.499984740745262"/>
      <name val="Calibri"/>
      <family val="2"/>
      <scheme val="minor"/>
    </font>
  </fonts>
  <fills count="14">
    <fill>
      <patternFill patternType="none"/>
    </fill>
    <fill>
      <patternFill patternType="gray125"/>
    </fill>
    <fill>
      <patternFill patternType="solid">
        <fgColor rgb="FFFFFFFF"/>
        <bgColor indexed="64"/>
      </patternFill>
    </fill>
    <fill>
      <patternFill patternType="solid">
        <fgColor rgb="FFF7F6F6"/>
        <bgColor indexed="64"/>
      </patternFill>
    </fill>
    <fill>
      <patternFill patternType="solid">
        <fgColor theme="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6"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9" fontId="7" fillId="0" borderId="0" applyFont="0" applyFill="0" applyBorder="0" applyAlignment="0" applyProtection="0"/>
  </cellStyleXfs>
  <cellXfs count="54">
    <xf numFmtId="0" fontId="0" fillId="0" borderId="0" xfId="0"/>
    <xf numFmtId="0" fontId="1" fillId="0" borderId="0" xfId="0" applyFont="1" applyAlignment="1">
      <alignment vertical="center"/>
    </xf>
    <xf numFmtId="0" fontId="4" fillId="0" borderId="0" xfId="0" applyFont="1" applyAlignment="1">
      <alignment vertical="center"/>
    </xf>
    <xf numFmtId="0" fontId="2"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3" fillId="2" borderId="1" xfId="0" applyFont="1" applyFill="1" applyBorder="1" applyAlignment="1">
      <alignment vertical="center" wrapText="1"/>
    </xf>
    <xf numFmtId="14" fontId="3" fillId="3" borderId="1" xfId="0" applyNumberFormat="1" applyFont="1" applyFill="1" applyBorder="1" applyAlignment="1">
      <alignment horizontal="center" vertical="center" wrapText="1"/>
    </xf>
    <xf numFmtId="0" fontId="3" fillId="3" borderId="1" xfId="0" applyFont="1" applyFill="1" applyBorder="1" applyAlignment="1">
      <alignment vertical="center" wrapText="1"/>
    </xf>
    <xf numFmtId="0" fontId="2" fillId="4" borderId="1" xfId="0" applyFont="1" applyFill="1" applyBorder="1" applyAlignment="1">
      <alignment horizontal="center" vertical="center" wrapText="1"/>
    </xf>
    <xf numFmtId="0" fontId="3" fillId="4" borderId="1" xfId="0" applyFont="1" applyFill="1" applyBorder="1" applyAlignment="1">
      <alignment horizontal="right" vertical="center" wrapText="1"/>
    </xf>
    <xf numFmtId="4" fontId="3" fillId="4" borderId="1" xfId="0" applyNumberFormat="1" applyFont="1" applyFill="1" applyBorder="1" applyAlignment="1">
      <alignment horizontal="right" vertical="center" wrapText="1"/>
    </xf>
    <xf numFmtId="0" fontId="0" fillId="4" borderId="0" xfId="0" applyFill="1" applyAlignment="1">
      <alignment horizontal="right"/>
    </xf>
    <xf numFmtId="0" fontId="5" fillId="5" borderId="1" xfId="0" applyFont="1" applyFill="1" applyBorder="1" applyAlignment="1">
      <alignment horizontal="center"/>
    </xf>
    <xf numFmtId="0" fontId="0" fillId="0" borderId="1" xfId="0" applyBorder="1" applyAlignment="1">
      <alignment vertical="center" wrapText="1"/>
    </xf>
    <xf numFmtId="0" fontId="5" fillId="0" borderId="0" xfId="0" applyFont="1" applyAlignment="1">
      <alignment horizontal="center"/>
    </xf>
    <xf numFmtId="0" fontId="3" fillId="3" borderId="1" xfId="0" applyFont="1" applyFill="1" applyBorder="1" applyAlignment="1">
      <alignment vertical="center"/>
    </xf>
    <xf numFmtId="0" fontId="3" fillId="2" borderId="1" xfId="0" applyFont="1" applyFill="1" applyBorder="1" applyAlignment="1">
      <alignment vertical="center"/>
    </xf>
    <xf numFmtId="0" fontId="6" fillId="2" borderId="2" xfId="0" applyFont="1" applyFill="1" applyBorder="1" applyAlignment="1">
      <alignment horizontal="right" vertical="center"/>
    </xf>
    <xf numFmtId="0" fontId="8" fillId="0" borderId="0" xfId="0" applyFont="1"/>
    <xf numFmtId="0" fontId="3" fillId="6" borderId="1" xfId="0" applyFont="1" applyFill="1" applyBorder="1" applyAlignment="1">
      <alignment vertical="center"/>
    </xf>
    <xf numFmtId="0" fontId="0" fillId="6" borderId="0" xfId="0" applyFill="1"/>
    <xf numFmtId="9" fontId="0" fillId="6" borderId="0" xfId="1" applyFont="1" applyFill="1"/>
    <xf numFmtId="0" fontId="2" fillId="2" borderId="1" xfId="0" applyFont="1" applyFill="1" applyBorder="1" applyAlignment="1">
      <alignment horizontal="center" vertical="center"/>
    </xf>
    <xf numFmtId="0" fontId="2" fillId="4" borderId="1" xfId="0" applyFont="1" applyFill="1" applyBorder="1" applyAlignment="1">
      <alignment horizontal="center" vertical="center"/>
    </xf>
    <xf numFmtId="14" fontId="3" fillId="2" borderId="1" xfId="0" applyNumberFormat="1" applyFont="1" applyFill="1" applyBorder="1" applyAlignment="1">
      <alignment horizontal="center" vertical="center"/>
    </xf>
    <xf numFmtId="0" fontId="3" fillId="4" borderId="1" xfId="0" applyFont="1" applyFill="1" applyBorder="1" applyAlignment="1">
      <alignment horizontal="right" vertical="center"/>
    </xf>
    <xf numFmtId="14" fontId="3" fillId="3" borderId="1" xfId="0" applyNumberFormat="1" applyFont="1" applyFill="1" applyBorder="1" applyAlignment="1">
      <alignment horizontal="center" vertical="center"/>
    </xf>
    <xf numFmtId="4" fontId="3" fillId="4" borderId="1" xfId="0" applyNumberFormat="1" applyFont="1" applyFill="1" applyBorder="1" applyAlignment="1">
      <alignment horizontal="right" vertical="center"/>
    </xf>
    <xf numFmtId="0" fontId="5" fillId="6" borderId="0" xfId="0" applyFont="1" applyFill="1" applyAlignment="1">
      <alignment horizontal="center"/>
    </xf>
    <xf numFmtId="0" fontId="0" fillId="7" borderId="0" xfId="0" applyFill="1"/>
    <xf numFmtId="0" fontId="0" fillId="8" borderId="0" xfId="0" applyFill="1"/>
    <xf numFmtId="0" fontId="9" fillId="0" borderId="0" xfId="0" applyFont="1"/>
    <xf numFmtId="0" fontId="5" fillId="11" borderId="0" xfId="0" applyFont="1" applyFill="1" applyAlignment="1">
      <alignment horizontal="center"/>
    </xf>
    <xf numFmtId="0" fontId="5" fillId="11" borderId="0" xfId="0" applyFont="1" applyFill="1"/>
    <xf numFmtId="0" fontId="3" fillId="11" borderId="1" xfId="0" applyFont="1" applyFill="1" applyBorder="1" applyAlignment="1">
      <alignment vertical="center" wrapText="1"/>
    </xf>
    <xf numFmtId="0" fontId="0" fillId="11" borderId="0" xfId="0" applyFill="1"/>
    <xf numFmtId="0" fontId="6" fillId="11" borderId="2" xfId="0" applyFont="1" applyFill="1" applyBorder="1" applyAlignment="1">
      <alignment horizontal="right" vertical="center" wrapText="1"/>
    </xf>
    <xf numFmtId="0" fontId="5" fillId="6" borderId="0" xfId="0" applyFont="1" applyFill="1"/>
    <xf numFmtId="0" fontId="3" fillId="6" borderId="1" xfId="0" applyFont="1" applyFill="1" applyBorder="1" applyAlignment="1">
      <alignment vertical="center" wrapText="1"/>
    </xf>
    <xf numFmtId="0" fontId="6" fillId="6" borderId="2" xfId="0" applyFont="1" applyFill="1" applyBorder="1" applyAlignment="1">
      <alignment horizontal="right" vertical="center" wrapText="1"/>
    </xf>
    <xf numFmtId="0" fontId="8" fillId="12" borderId="0" xfId="0" applyFont="1" applyFill="1" applyAlignment="1">
      <alignment horizontal="center"/>
    </xf>
    <xf numFmtId="0" fontId="8" fillId="12" borderId="0" xfId="0" applyFont="1" applyFill="1"/>
    <xf numFmtId="0" fontId="3" fillId="12" borderId="1" xfId="0" applyFont="1" applyFill="1" applyBorder="1" applyAlignment="1">
      <alignment vertical="center" wrapText="1"/>
    </xf>
    <xf numFmtId="0" fontId="0" fillId="12" borderId="0" xfId="0" applyFill="1"/>
    <xf numFmtId="0" fontId="3" fillId="12" borderId="2" xfId="0" applyFont="1" applyFill="1" applyBorder="1" applyAlignment="1">
      <alignment horizontal="right" vertical="center" wrapText="1"/>
    </xf>
    <xf numFmtId="0" fontId="0" fillId="12" borderId="1" xfId="0" applyFill="1" applyBorder="1"/>
    <xf numFmtId="14" fontId="0" fillId="0" borderId="0" xfId="0" applyNumberFormat="1"/>
    <xf numFmtId="0" fontId="5" fillId="5" borderId="0" xfId="0" applyFont="1" applyFill="1"/>
    <xf numFmtId="0" fontId="5" fillId="6" borderId="0" xfId="0" applyFont="1" applyFill="1" applyAlignment="1">
      <alignment horizontal="left"/>
    </xf>
    <xf numFmtId="0" fontId="5" fillId="9" borderId="0" xfId="0" applyFont="1" applyFill="1" applyAlignment="1">
      <alignment horizontal="left"/>
    </xf>
    <xf numFmtId="0" fontId="5" fillId="0" borderId="0" xfId="0" applyFont="1" applyAlignment="1">
      <alignment horizontal="center"/>
    </xf>
    <xf numFmtId="0" fontId="0" fillId="10" borderId="0" xfId="0" applyFill="1" applyAlignment="1">
      <alignment horizontal="center"/>
    </xf>
    <xf numFmtId="0" fontId="0" fillId="5" borderId="0" xfId="0" applyFill="1" applyAlignment="1">
      <alignment horizontal="center" wrapText="1"/>
    </xf>
    <xf numFmtId="0" fontId="5" fillId="13" borderId="0" xfId="0" applyFont="1" applyFill="1" applyAlignment="1">
      <alignment horizontal="left"/>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1"/>
          <c:order val="0"/>
          <c:tx>
            <c:strRef>
              <c:f>Sheet3!$D$5</c:f>
              <c:strCache>
                <c:ptCount val="1"/>
                <c:pt idx="0">
                  <c:v>Percentage</c:v>
                </c:pt>
              </c:strCache>
            </c:strRef>
          </c:tx>
          <c:spPr>
            <a:gradFill rotWithShape="1">
              <a:gsLst>
                <a:gs pos="0">
                  <a:schemeClr val="accent2">
                    <a:tint val="77000"/>
                    <a:satMod val="103000"/>
                    <a:lumMod val="102000"/>
                    <a:tint val="94000"/>
                  </a:schemeClr>
                </a:gs>
                <a:gs pos="50000">
                  <a:schemeClr val="accent2">
                    <a:tint val="77000"/>
                    <a:satMod val="110000"/>
                    <a:lumMod val="100000"/>
                    <a:shade val="100000"/>
                  </a:schemeClr>
                </a:gs>
                <a:gs pos="100000">
                  <a:schemeClr val="accent2">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Sheet3!$B$6:$B$16</c15:sqref>
                  </c15:fullRef>
                </c:ext>
              </c:extLst>
              <c:f>(Sheet3!$B$6,Sheet3!$B$8:$B$16)</c:f>
              <c:strCache>
                <c:ptCount val="10"/>
                <c:pt idx="0">
                  <c:v>Vegetables &amp; Fruit</c:v>
                </c:pt>
                <c:pt idx="1">
                  <c:v>Other essential items</c:v>
                </c:pt>
                <c:pt idx="2">
                  <c:v>Ordering food</c:v>
                </c:pt>
                <c:pt idx="3">
                  <c:v>Online shopping</c:v>
                </c:pt>
                <c:pt idx="4">
                  <c:v>Movie with friends</c:v>
                </c:pt>
                <c:pt idx="5">
                  <c:v>Mobile Bill Payment</c:v>
                </c:pt>
                <c:pt idx="6">
                  <c:v>Medicine</c:v>
                </c:pt>
                <c:pt idx="7">
                  <c:v>Gifts</c:v>
                </c:pt>
                <c:pt idx="8">
                  <c:v>Fish &amp; Chicken</c:v>
                </c:pt>
                <c:pt idx="9">
                  <c:v>Cab to office</c:v>
                </c:pt>
              </c:strCache>
            </c:strRef>
          </c:cat>
          <c:val>
            <c:numRef>
              <c:extLst>
                <c:ext xmlns:c15="http://schemas.microsoft.com/office/drawing/2012/chart" uri="{02D57815-91ED-43cb-92C2-25804820EDAC}">
                  <c15:fullRef>
                    <c15:sqref>Sheet3!$D$6:$D$16</c15:sqref>
                  </c15:fullRef>
                </c:ext>
              </c:extLst>
              <c:f>(Sheet3!$D$6,Sheet3!$D$8:$D$16)</c:f>
              <c:numCache>
                <c:formatCode>0%</c:formatCode>
                <c:ptCount val="10"/>
                <c:pt idx="0">
                  <c:v>5.6393807935346783E-2</c:v>
                </c:pt>
                <c:pt idx="1">
                  <c:v>0.17870193269310497</c:v>
                </c:pt>
                <c:pt idx="2">
                  <c:v>3.255309335901118E-2</c:v>
                </c:pt>
                <c:pt idx="3">
                  <c:v>0.13084345117483009</c:v>
                </c:pt>
                <c:pt idx="4">
                  <c:v>4.5332417569414606E-2</c:v>
                </c:pt>
                <c:pt idx="5">
                  <c:v>2.4739299156617191E-2</c:v>
                </c:pt>
                <c:pt idx="6">
                  <c:v>0.136295261640448</c:v>
                </c:pt>
                <c:pt idx="7">
                  <c:v>9.971028272808595E-2</c:v>
                </c:pt>
                <c:pt idx="8">
                  <c:v>5.8585050083907041E-2</c:v>
                </c:pt>
                <c:pt idx="9">
                  <c:v>2.6486157397449424E-2</c:v>
                </c:pt>
              </c:numCache>
            </c:numRef>
          </c:val>
          <c:extLst>
            <c:ext xmlns:c16="http://schemas.microsoft.com/office/drawing/2014/chart" uri="{C3380CC4-5D6E-409C-BE32-E72D297353CC}">
              <c16:uniqueId val="{00000001-F074-4F97-9EF3-1A902A2BF48B}"/>
            </c:ext>
          </c:extLst>
        </c:ser>
        <c:dLbls>
          <c:showLegendKey val="0"/>
          <c:showVal val="1"/>
          <c:showCatName val="0"/>
          <c:showSerName val="0"/>
          <c:showPercent val="0"/>
          <c:showBubbleSize val="0"/>
        </c:dLbls>
        <c:gapWidth val="150"/>
        <c:shape val="box"/>
        <c:axId val="876995296"/>
        <c:axId val="876992896"/>
        <c:axId val="0"/>
      </c:bar3DChart>
      <c:catAx>
        <c:axId val="87699529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Items</a:t>
                </a:r>
              </a:p>
              <a:p>
                <a:pPr>
                  <a:defRPr/>
                </a:pP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76992896"/>
        <c:crosses val="autoZero"/>
        <c:auto val="1"/>
        <c:lblAlgn val="ctr"/>
        <c:lblOffset val="100"/>
        <c:noMultiLvlLbl val="0"/>
      </c:catAx>
      <c:valAx>
        <c:axId val="876992896"/>
        <c:scaling>
          <c:orientation val="minMax"/>
        </c:scaling>
        <c:delete val="0"/>
        <c:axPos val="l"/>
        <c:majorGridlines>
          <c:spPr>
            <a:ln w="9525" cap="flat" cmpd="sng" algn="ctr">
              <a:solidFill>
                <a:schemeClr val="dk1">
                  <a:lumMod val="50000"/>
                  <a:lumOff val="5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Expense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76995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scene3d>
      <a:camera prst="orthographicFront"/>
      <a:lightRig rig="threePt" dir="t"/>
    </a:scene3d>
    <a:sp3d prstMaterial="matte"/>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1504855643044625"/>
          <c:y val="4.6296296296296294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cked"/>
        <c:varyColors val="0"/>
        <c:ser>
          <c:idx val="0"/>
          <c:order val="0"/>
          <c:spPr>
            <a:ln w="34925" cap="rnd">
              <a:solidFill>
                <a:schemeClr val="lt1"/>
              </a:solidFill>
              <a:round/>
            </a:ln>
            <a:effectLst>
              <a:outerShdw dist="25400" dir="2700000" algn="tl" rotWithShape="0">
                <a:schemeClr val="accent1"/>
              </a:outerShdw>
            </a:effectLst>
          </c:spPr>
          <c:marker>
            <c:symbol val="none"/>
          </c:marker>
          <c:cat>
            <c:strRef>
              <c:f>Sheet3!$B$23:$B$25</c:f>
              <c:strCache>
                <c:ptCount val="3"/>
                <c:pt idx="0">
                  <c:v>October</c:v>
                </c:pt>
                <c:pt idx="1">
                  <c:v>November</c:v>
                </c:pt>
                <c:pt idx="2">
                  <c:v>December</c:v>
                </c:pt>
              </c:strCache>
            </c:strRef>
          </c:cat>
          <c:val>
            <c:numRef>
              <c:f>Sheet3!$C$23:$C$25</c:f>
              <c:numCache>
                <c:formatCode>General</c:formatCode>
                <c:ptCount val="3"/>
                <c:pt idx="0">
                  <c:v>17443.37</c:v>
                </c:pt>
                <c:pt idx="1">
                  <c:v>18764.269999999997</c:v>
                </c:pt>
                <c:pt idx="2">
                  <c:v>20837.63</c:v>
                </c:pt>
              </c:numCache>
            </c:numRef>
          </c:val>
          <c:smooth val="0"/>
          <c:extLst>
            <c:ext xmlns:c16="http://schemas.microsoft.com/office/drawing/2014/chart" uri="{C3380CC4-5D6E-409C-BE32-E72D297353CC}">
              <c16:uniqueId val="{00000000-A630-49AA-8DDF-4ACB2C504919}"/>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981530608"/>
        <c:axId val="981527728"/>
      </c:lineChart>
      <c:catAx>
        <c:axId val="981530608"/>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81527728"/>
        <c:crosses val="autoZero"/>
        <c:auto val="1"/>
        <c:lblAlgn val="ctr"/>
        <c:lblOffset val="100"/>
        <c:noMultiLvlLbl val="0"/>
      </c:catAx>
      <c:valAx>
        <c:axId val="98152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8153060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152400</xdr:colOff>
      <xdr:row>27</xdr:row>
      <xdr:rowOff>44450</xdr:rowOff>
    </xdr:from>
    <xdr:to>
      <xdr:col>2</xdr:col>
      <xdr:colOff>1193800</xdr:colOff>
      <xdr:row>27</xdr:row>
      <xdr:rowOff>50800</xdr:rowOff>
    </xdr:to>
    <xdr:cxnSp macro="">
      <xdr:nvCxnSpPr>
        <xdr:cNvPr id="3" name="Straight Arrow Connector 2">
          <a:extLst>
            <a:ext uri="{FF2B5EF4-FFF2-40B4-BE49-F238E27FC236}">
              <a16:creationId xmlns:a16="http://schemas.microsoft.com/office/drawing/2014/main" id="{D912E13E-78C6-153B-9E15-C23998A6E0A6}"/>
            </a:ext>
          </a:extLst>
        </xdr:cNvPr>
        <xdr:cNvCxnSpPr/>
      </xdr:nvCxnSpPr>
      <xdr:spPr>
        <a:xfrm>
          <a:off x="2794000" y="5016500"/>
          <a:ext cx="1041400" cy="6350"/>
        </a:xfrm>
        <a:prstGeom prst="straightConnector1">
          <a:avLst/>
        </a:prstGeom>
        <a:ln w="19050" cap="flat" cmpd="sng" algn="ctr">
          <a:solidFill>
            <a:schemeClr val="accent5"/>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530225</xdr:colOff>
      <xdr:row>3</xdr:row>
      <xdr:rowOff>107950</xdr:rowOff>
    </xdr:from>
    <xdr:to>
      <xdr:col>13</xdr:col>
      <xdr:colOff>225425</xdr:colOff>
      <xdr:row>18</xdr:row>
      <xdr:rowOff>95250</xdr:rowOff>
    </xdr:to>
    <xdr:graphicFrame macro="">
      <xdr:nvGraphicFramePr>
        <xdr:cNvPr id="2" name="Chart 1">
          <a:extLst>
            <a:ext uri="{FF2B5EF4-FFF2-40B4-BE49-F238E27FC236}">
              <a16:creationId xmlns:a16="http://schemas.microsoft.com/office/drawing/2014/main" id="{FCBE86C5-3047-6B00-4706-A6397D1638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31749</xdr:colOff>
      <xdr:row>19</xdr:row>
      <xdr:rowOff>146050</xdr:rowOff>
    </xdr:from>
    <xdr:to>
      <xdr:col>11</xdr:col>
      <xdr:colOff>422274</xdr:colOff>
      <xdr:row>31</xdr:row>
      <xdr:rowOff>152400</xdr:rowOff>
    </xdr:to>
    <xdr:graphicFrame macro="">
      <xdr:nvGraphicFramePr>
        <xdr:cNvPr id="4" name="Chart 3">
          <a:extLst>
            <a:ext uri="{FF2B5EF4-FFF2-40B4-BE49-F238E27FC236}">
              <a16:creationId xmlns:a16="http://schemas.microsoft.com/office/drawing/2014/main" id="{163728A2-273C-5A49-B23F-D174290912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3"/>
  <sheetViews>
    <sheetView topLeftCell="A36" zoomScaleNormal="100" workbookViewId="0">
      <selection activeCell="A2" sqref="A2:A51"/>
    </sheetView>
  </sheetViews>
  <sheetFormatPr defaultRowHeight="14.5" x14ac:dyDescent="0.35"/>
  <cols>
    <col min="1" max="2" width="17.08984375" customWidth="1"/>
    <col min="3" max="3" width="24.54296875" customWidth="1"/>
    <col min="4" max="4" width="14.453125" style="11" customWidth="1"/>
  </cols>
  <sheetData>
    <row r="1" spans="1:7" ht="13.75" customHeight="1" x14ac:dyDescent="0.35">
      <c r="A1" s="3" t="s">
        <v>0</v>
      </c>
      <c r="B1" s="3" t="s">
        <v>36</v>
      </c>
      <c r="C1" s="3" t="s">
        <v>14</v>
      </c>
      <c r="D1" s="8" t="s">
        <v>1</v>
      </c>
    </row>
    <row r="2" spans="1:7" ht="18" customHeight="1" x14ac:dyDescent="0.35">
      <c r="A2" s="4">
        <v>44470</v>
      </c>
      <c r="B2" s="4" t="str">
        <f>TEXT(A2,"mmmm")</f>
        <v>October</v>
      </c>
      <c r="C2" s="5" t="s">
        <v>2</v>
      </c>
      <c r="D2" s="9">
        <v>2300</v>
      </c>
    </row>
    <row r="3" spans="1:7" x14ac:dyDescent="0.35">
      <c r="A3" s="6">
        <v>44470</v>
      </c>
      <c r="B3" s="4" t="str">
        <f t="shared" ref="B3:B51" si="0">TEXT(A3,"mmmm")</f>
        <v>October</v>
      </c>
      <c r="C3" s="7" t="s">
        <v>3</v>
      </c>
      <c r="D3" s="9">
        <v>767</v>
      </c>
    </row>
    <row r="4" spans="1:7" x14ac:dyDescent="0.35">
      <c r="A4" s="6">
        <v>44470</v>
      </c>
      <c r="B4" s="4" t="str">
        <f t="shared" si="0"/>
        <v>October</v>
      </c>
      <c r="C4" s="7" t="s">
        <v>4</v>
      </c>
      <c r="D4" s="10">
        <v>2500</v>
      </c>
      <c r="G4" t="s">
        <v>27</v>
      </c>
    </row>
    <row r="5" spans="1:7" x14ac:dyDescent="0.35">
      <c r="A5" s="6">
        <v>44473</v>
      </c>
      <c r="B5" s="4" t="str">
        <f t="shared" si="0"/>
        <v>October</v>
      </c>
      <c r="C5" s="7" t="s">
        <v>5</v>
      </c>
      <c r="D5" s="9">
        <v>710</v>
      </c>
    </row>
    <row r="6" spans="1:7" x14ac:dyDescent="0.35">
      <c r="A6" s="4">
        <v>44473</v>
      </c>
      <c r="B6" s="4" t="str">
        <f t="shared" si="0"/>
        <v>October</v>
      </c>
      <c r="C6" s="5" t="s">
        <v>6</v>
      </c>
      <c r="D6" s="9">
        <v>760</v>
      </c>
    </row>
    <row r="7" spans="1:7" x14ac:dyDescent="0.35">
      <c r="A7" s="6">
        <v>44476</v>
      </c>
      <c r="B7" s="4" t="str">
        <f t="shared" si="0"/>
        <v>October</v>
      </c>
      <c r="C7" s="7" t="s">
        <v>10</v>
      </c>
      <c r="D7" s="10">
        <v>1900</v>
      </c>
    </row>
    <row r="8" spans="1:7" x14ac:dyDescent="0.35">
      <c r="A8" s="4">
        <v>44477</v>
      </c>
      <c r="B8" s="4" t="str">
        <f t="shared" si="0"/>
        <v>October</v>
      </c>
      <c r="C8" s="5" t="s">
        <v>7</v>
      </c>
      <c r="D8" s="9">
        <v>450</v>
      </c>
    </row>
    <row r="9" spans="1:7" x14ac:dyDescent="0.35">
      <c r="A9" s="6">
        <v>44484</v>
      </c>
      <c r="B9" s="4" t="str">
        <f t="shared" si="0"/>
        <v>October</v>
      </c>
      <c r="C9" s="7" t="s">
        <v>8</v>
      </c>
      <c r="D9" s="9">
        <v>620</v>
      </c>
    </row>
    <row r="10" spans="1:7" x14ac:dyDescent="0.35">
      <c r="A10" s="6">
        <v>44485</v>
      </c>
      <c r="B10" s="4" t="str">
        <f t="shared" si="0"/>
        <v>October</v>
      </c>
      <c r="C10" s="7" t="s">
        <v>11</v>
      </c>
      <c r="D10" s="9">
        <v>470</v>
      </c>
    </row>
    <row r="11" spans="1:7" x14ac:dyDescent="0.35">
      <c r="A11" s="6">
        <v>44487</v>
      </c>
      <c r="B11" s="4" t="str">
        <f t="shared" si="0"/>
        <v>October</v>
      </c>
      <c r="C11" s="7" t="s">
        <v>3</v>
      </c>
      <c r="D11" s="9">
        <v>970</v>
      </c>
    </row>
    <row r="12" spans="1:7" x14ac:dyDescent="0.35">
      <c r="A12" s="6">
        <v>44487</v>
      </c>
      <c r="B12" s="4" t="str">
        <f t="shared" si="0"/>
        <v>October</v>
      </c>
      <c r="C12" s="5" t="s">
        <v>2</v>
      </c>
      <c r="D12" s="10">
        <v>1075</v>
      </c>
    </row>
    <row r="13" spans="1:7" x14ac:dyDescent="0.35">
      <c r="A13" s="6">
        <v>44488</v>
      </c>
      <c r="B13" s="4" t="str">
        <f t="shared" si="0"/>
        <v>October</v>
      </c>
      <c r="C13" s="7" t="s">
        <v>7</v>
      </c>
      <c r="D13" s="9">
        <v>489</v>
      </c>
    </row>
    <row r="14" spans="1:7" x14ac:dyDescent="0.35">
      <c r="A14" s="6">
        <v>44491</v>
      </c>
      <c r="B14" s="4" t="str">
        <f t="shared" si="0"/>
        <v>October</v>
      </c>
      <c r="C14" s="7" t="s">
        <v>4</v>
      </c>
      <c r="D14" s="10">
        <v>1574.1</v>
      </c>
    </row>
    <row r="15" spans="1:7" x14ac:dyDescent="0.35">
      <c r="A15" s="6">
        <v>44491</v>
      </c>
      <c r="B15" s="4" t="str">
        <f t="shared" si="0"/>
        <v>October</v>
      </c>
      <c r="C15" s="7" t="s">
        <v>6</v>
      </c>
      <c r="D15" s="9">
        <v>550</v>
      </c>
    </row>
    <row r="16" spans="1:7" x14ac:dyDescent="0.35">
      <c r="A16" s="6">
        <v>44494</v>
      </c>
      <c r="B16" s="4" t="str">
        <f t="shared" si="0"/>
        <v>October</v>
      </c>
      <c r="C16" s="7" t="s">
        <v>9</v>
      </c>
      <c r="D16" s="9">
        <v>423</v>
      </c>
    </row>
    <row r="17" spans="1:4" x14ac:dyDescent="0.35">
      <c r="A17" s="6">
        <v>44496</v>
      </c>
      <c r="B17" s="4" t="str">
        <f t="shared" si="0"/>
        <v>October</v>
      </c>
      <c r="C17" s="7" t="s">
        <v>9</v>
      </c>
      <c r="D17" s="9">
        <v>358.22</v>
      </c>
    </row>
    <row r="18" spans="1:4" x14ac:dyDescent="0.35">
      <c r="A18" s="6">
        <v>44496</v>
      </c>
      <c r="B18" s="4" t="str">
        <f t="shared" si="0"/>
        <v>October</v>
      </c>
      <c r="C18" s="7" t="s">
        <v>8</v>
      </c>
      <c r="D18" s="9">
        <v>520</v>
      </c>
    </row>
    <row r="19" spans="1:4" x14ac:dyDescent="0.35">
      <c r="A19" s="4">
        <v>44497</v>
      </c>
      <c r="B19" s="4" t="str">
        <f t="shared" si="0"/>
        <v>October</v>
      </c>
      <c r="C19" s="5" t="s">
        <v>5</v>
      </c>
      <c r="D19" s="9">
        <v>300</v>
      </c>
    </row>
    <row r="20" spans="1:4" x14ac:dyDescent="0.35">
      <c r="A20" s="4">
        <v>44498</v>
      </c>
      <c r="B20" s="4" t="str">
        <f t="shared" si="0"/>
        <v>October</v>
      </c>
      <c r="C20" s="5" t="s">
        <v>9</v>
      </c>
      <c r="D20" s="9">
        <v>407.05</v>
      </c>
    </row>
    <row r="21" spans="1:4" x14ac:dyDescent="0.35">
      <c r="A21" s="4">
        <v>44499</v>
      </c>
      <c r="B21" s="4" t="str">
        <f t="shared" si="0"/>
        <v>October</v>
      </c>
      <c r="C21" s="5" t="s">
        <v>4</v>
      </c>
      <c r="D21" s="9">
        <v>300</v>
      </c>
    </row>
    <row r="22" spans="1:4" x14ac:dyDescent="0.35">
      <c r="A22" s="6">
        <v>44501</v>
      </c>
      <c r="B22" s="4" t="str">
        <f t="shared" si="0"/>
        <v>November</v>
      </c>
      <c r="C22" s="7" t="s">
        <v>3</v>
      </c>
      <c r="D22" s="10">
        <v>2327</v>
      </c>
    </row>
    <row r="23" spans="1:4" x14ac:dyDescent="0.35">
      <c r="A23" s="6">
        <v>44502</v>
      </c>
      <c r="B23" s="4" t="str">
        <f t="shared" si="0"/>
        <v>November</v>
      </c>
      <c r="C23" s="7" t="s">
        <v>10</v>
      </c>
      <c r="D23" s="9">
        <v>1150</v>
      </c>
    </row>
    <row r="24" spans="1:4" x14ac:dyDescent="0.35">
      <c r="A24" s="6">
        <v>44504</v>
      </c>
      <c r="B24" s="4" t="str">
        <f t="shared" si="0"/>
        <v>November</v>
      </c>
      <c r="C24" s="7" t="s">
        <v>10</v>
      </c>
      <c r="D24" s="10">
        <v>1138</v>
      </c>
    </row>
    <row r="25" spans="1:4" x14ac:dyDescent="0.35">
      <c r="A25" s="4">
        <v>44505</v>
      </c>
      <c r="B25" s="4" t="str">
        <f t="shared" si="0"/>
        <v>November</v>
      </c>
      <c r="C25" s="5" t="s">
        <v>13</v>
      </c>
      <c r="D25" s="9">
        <v>500</v>
      </c>
    </row>
    <row r="26" spans="1:4" x14ac:dyDescent="0.35">
      <c r="A26" s="4">
        <v>44508</v>
      </c>
      <c r="B26" s="4" t="str">
        <f t="shared" si="0"/>
        <v>November</v>
      </c>
      <c r="C26" s="5" t="s">
        <v>6</v>
      </c>
      <c r="D26" s="9">
        <v>702</v>
      </c>
    </row>
    <row r="27" spans="1:4" x14ac:dyDescent="0.35">
      <c r="A27" s="6">
        <v>44509</v>
      </c>
      <c r="B27" s="4" t="str">
        <f t="shared" si="0"/>
        <v>November</v>
      </c>
      <c r="C27" s="7" t="s">
        <v>4</v>
      </c>
      <c r="D27" s="10">
        <v>1600</v>
      </c>
    </row>
    <row r="28" spans="1:4" x14ac:dyDescent="0.35">
      <c r="A28" s="6">
        <v>44512</v>
      </c>
      <c r="B28" s="4" t="str">
        <f t="shared" si="0"/>
        <v>November</v>
      </c>
      <c r="C28" s="7" t="s">
        <v>5</v>
      </c>
      <c r="D28" s="9">
        <v>600</v>
      </c>
    </row>
    <row r="29" spans="1:4" ht="19.25" customHeight="1" x14ac:dyDescent="0.35">
      <c r="A29" s="4">
        <v>44515</v>
      </c>
      <c r="B29" s="4" t="str">
        <f t="shared" si="0"/>
        <v>November</v>
      </c>
      <c r="C29" s="5" t="s">
        <v>13</v>
      </c>
      <c r="D29" s="9">
        <v>900</v>
      </c>
    </row>
    <row r="30" spans="1:4" x14ac:dyDescent="0.35">
      <c r="A30" s="6">
        <v>44515</v>
      </c>
      <c r="B30" s="4" t="str">
        <f t="shared" si="0"/>
        <v>November</v>
      </c>
      <c r="C30" s="5" t="s">
        <v>6</v>
      </c>
      <c r="D30" s="9">
        <v>150</v>
      </c>
    </row>
    <row r="31" spans="1:4" x14ac:dyDescent="0.35">
      <c r="A31" s="4">
        <v>44515</v>
      </c>
      <c r="B31" s="4" t="str">
        <f t="shared" si="0"/>
        <v>November</v>
      </c>
      <c r="C31" s="5" t="s">
        <v>2</v>
      </c>
      <c r="D31" s="9">
        <v>2100</v>
      </c>
    </row>
    <row r="32" spans="1:4" x14ac:dyDescent="0.35">
      <c r="A32" s="4">
        <v>44517</v>
      </c>
      <c r="B32" s="4" t="str">
        <f t="shared" si="0"/>
        <v>November</v>
      </c>
      <c r="C32" s="5" t="s">
        <v>11</v>
      </c>
      <c r="D32" s="9">
        <v>470.63</v>
      </c>
    </row>
    <row r="33" spans="1:4" x14ac:dyDescent="0.35">
      <c r="A33" s="4">
        <v>44517</v>
      </c>
      <c r="B33" s="4" t="str">
        <f t="shared" si="0"/>
        <v>November</v>
      </c>
      <c r="C33" s="5" t="s">
        <v>9</v>
      </c>
      <c r="D33" s="9">
        <v>322.64</v>
      </c>
    </row>
    <row r="34" spans="1:4" x14ac:dyDescent="0.35">
      <c r="A34" s="4">
        <v>44518</v>
      </c>
      <c r="B34" s="4" t="str">
        <f t="shared" si="0"/>
        <v>November</v>
      </c>
      <c r="C34" s="7" t="s">
        <v>8</v>
      </c>
      <c r="D34" s="9">
        <v>428</v>
      </c>
    </row>
    <row r="35" spans="1:4" x14ac:dyDescent="0.35">
      <c r="A35" s="4">
        <v>44519</v>
      </c>
      <c r="B35" s="4" t="str">
        <f t="shared" si="0"/>
        <v>November</v>
      </c>
      <c r="C35" s="5" t="s">
        <v>5</v>
      </c>
      <c r="D35" s="9">
        <v>447</v>
      </c>
    </row>
    <row r="36" spans="1:4" x14ac:dyDescent="0.35">
      <c r="A36" s="4">
        <v>44522</v>
      </c>
      <c r="B36" s="4" t="str">
        <f t="shared" si="0"/>
        <v>November</v>
      </c>
      <c r="C36" s="5" t="s">
        <v>4</v>
      </c>
      <c r="D36" s="10">
        <v>1720</v>
      </c>
    </row>
    <row r="37" spans="1:4" x14ac:dyDescent="0.35">
      <c r="A37" s="6">
        <v>44524</v>
      </c>
      <c r="B37" s="4" t="str">
        <f t="shared" si="0"/>
        <v>November</v>
      </c>
      <c r="C37" s="7" t="s">
        <v>6</v>
      </c>
      <c r="D37" s="9">
        <v>540</v>
      </c>
    </row>
    <row r="38" spans="1:4" x14ac:dyDescent="0.35">
      <c r="A38" s="4">
        <v>44525</v>
      </c>
      <c r="B38" s="4" t="str">
        <f t="shared" si="0"/>
        <v>November</v>
      </c>
      <c r="C38" s="5" t="s">
        <v>7</v>
      </c>
      <c r="D38" s="9">
        <v>314</v>
      </c>
    </row>
    <row r="39" spans="1:4" ht="18" customHeight="1" x14ac:dyDescent="0.35">
      <c r="A39" s="4">
        <v>44526</v>
      </c>
      <c r="B39" s="4" t="str">
        <f t="shared" si="0"/>
        <v>November</v>
      </c>
      <c r="C39" s="5" t="s">
        <v>8</v>
      </c>
      <c r="D39" s="9">
        <v>518</v>
      </c>
    </row>
    <row r="40" spans="1:4" ht="15.65" customHeight="1" x14ac:dyDescent="0.35">
      <c r="A40" s="4">
        <v>44526</v>
      </c>
      <c r="B40" s="4" t="str">
        <f t="shared" si="0"/>
        <v>November</v>
      </c>
      <c r="C40" s="7" t="s">
        <v>3</v>
      </c>
      <c r="D40" s="10">
        <v>2000</v>
      </c>
    </row>
    <row r="41" spans="1:4" x14ac:dyDescent="0.35">
      <c r="A41" s="6">
        <v>44529</v>
      </c>
      <c r="B41" s="4" t="str">
        <f t="shared" si="0"/>
        <v>November</v>
      </c>
      <c r="C41" s="7" t="s">
        <v>7</v>
      </c>
      <c r="D41" s="9">
        <v>337</v>
      </c>
    </row>
    <row r="42" spans="1:4" x14ac:dyDescent="0.35">
      <c r="A42" s="4">
        <v>44530</v>
      </c>
      <c r="B42" s="4" t="str">
        <f t="shared" si="0"/>
        <v>November</v>
      </c>
      <c r="C42" s="5" t="s">
        <v>8</v>
      </c>
      <c r="D42" s="9">
        <v>500</v>
      </c>
    </row>
    <row r="43" spans="1:4" x14ac:dyDescent="0.35">
      <c r="A43" s="4">
        <v>44531</v>
      </c>
      <c r="B43" s="4" t="str">
        <f t="shared" si="0"/>
        <v>December</v>
      </c>
      <c r="C43" s="5" t="s">
        <v>4</v>
      </c>
      <c r="D43" s="10">
        <v>2500</v>
      </c>
    </row>
    <row r="44" spans="1:4" x14ac:dyDescent="0.35">
      <c r="A44" s="6">
        <v>44534</v>
      </c>
      <c r="B44" s="4" t="str">
        <f t="shared" si="0"/>
        <v>December</v>
      </c>
      <c r="C44" s="7" t="s">
        <v>5</v>
      </c>
      <c r="D44" s="9">
        <v>710</v>
      </c>
    </row>
    <row r="45" spans="1:4" x14ac:dyDescent="0.35">
      <c r="A45" s="4">
        <v>44537</v>
      </c>
      <c r="B45" s="4" t="str">
        <f t="shared" si="0"/>
        <v>December</v>
      </c>
      <c r="C45" s="5" t="s">
        <v>2</v>
      </c>
      <c r="D45" s="9">
        <v>2300</v>
      </c>
    </row>
    <row r="46" spans="1:4" x14ac:dyDescent="0.35">
      <c r="A46" s="4">
        <v>44539</v>
      </c>
      <c r="B46" s="4" t="str">
        <f t="shared" si="0"/>
        <v>December</v>
      </c>
      <c r="C46" s="5" t="s">
        <v>12</v>
      </c>
      <c r="D46" s="9">
        <v>12000</v>
      </c>
    </row>
    <row r="47" spans="1:4" x14ac:dyDescent="0.35">
      <c r="A47" s="4">
        <v>44545</v>
      </c>
      <c r="B47" s="4" t="str">
        <f t="shared" si="0"/>
        <v>December</v>
      </c>
      <c r="C47" s="7" t="s">
        <v>10</v>
      </c>
      <c r="D47" s="9">
        <v>1500</v>
      </c>
    </row>
    <row r="48" spans="1:4" x14ac:dyDescent="0.35">
      <c r="A48" s="4">
        <v>44547</v>
      </c>
      <c r="B48" s="4" t="str">
        <f t="shared" si="0"/>
        <v>December</v>
      </c>
      <c r="C48" s="5" t="s">
        <v>11</v>
      </c>
      <c r="D48" s="9">
        <v>470.63</v>
      </c>
    </row>
    <row r="49" spans="1:4" x14ac:dyDescent="0.35">
      <c r="A49" s="4">
        <v>44550</v>
      </c>
      <c r="B49" s="4" t="str">
        <f t="shared" si="0"/>
        <v>December</v>
      </c>
      <c r="C49" s="5" t="s">
        <v>7</v>
      </c>
      <c r="D49" s="9">
        <v>267</v>
      </c>
    </row>
    <row r="50" spans="1:4" x14ac:dyDescent="0.35">
      <c r="A50" s="4">
        <v>44553</v>
      </c>
      <c r="B50" s="4" t="str">
        <f t="shared" si="0"/>
        <v>December</v>
      </c>
      <c r="C50" s="5" t="s">
        <v>6</v>
      </c>
      <c r="D50" s="9">
        <v>640</v>
      </c>
    </row>
    <row r="51" spans="1:4" x14ac:dyDescent="0.35">
      <c r="A51" s="4">
        <v>44553</v>
      </c>
      <c r="B51" s="4" t="str">
        <f t="shared" si="0"/>
        <v>December</v>
      </c>
      <c r="C51" s="5" t="s">
        <v>5</v>
      </c>
      <c r="D51" s="9">
        <v>450</v>
      </c>
    </row>
    <row r="52" spans="1:4" ht="31" x14ac:dyDescent="0.35">
      <c r="A52" s="2"/>
      <c r="B52" s="2"/>
      <c r="D52" s="11">
        <f>SUM(D2:D51)</f>
        <v>57045.27</v>
      </c>
    </row>
    <row r="53" spans="1:4" ht="15.5" x14ac:dyDescent="0.35">
      <c r="A53" s="1"/>
      <c r="B53" s="1"/>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478ED-C982-4EE1-A532-7979B17BFC17}">
  <dimension ref="B1:B9"/>
  <sheetViews>
    <sheetView topLeftCell="A3" workbookViewId="0">
      <selection activeCell="B6" sqref="B6"/>
    </sheetView>
  </sheetViews>
  <sheetFormatPr defaultRowHeight="14.5" x14ac:dyDescent="0.35"/>
  <cols>
    <col min="2" max="2" width="61.453125" customWidth="1"/>
  </cols>
  <sheetData>
    <row r="1" spans="2:2" x14ac:dyDescent="0.35">
      <c r="B1" s="12" t="s">
        <v>23</v>
      </c>
    </row>
    <row r="2" spans="2:2" ht="39" customHeight="1" x14ac:dyDescent="0.35">
      <c r="B2" s="13" t="s">
        <v>15</v>
      </c>
    </row>
    <row r="3" spans="2:2" ht="25.25" customHeight="1" x14ac:dyDescent="0.35">
      <c r="B3" s="13" t="s">
        <v>16</v>
      </c>
    </row>
    <row r="4" spans="2:2" ht="37.25" customHeight="1" x14ac:dyDescent="0.35">
      <c r="B4" s="13" t="s">
        <v>17</v>
      </c>
    </row>
    <row r="5" spans="2:2" ht="41.4" customHeight="1" x14ac:dyDescent="0.35">
      <c r="B5" s="13" t="s">
        <v>18</v>
      </c>
    </row>
    <row r="6" spans="2:2" ht="32.4" customHeight="1" x14ac:dyDescent="0.35">
      <c r="B6" s="13" t="s">
        <v>19</v>
      </c>
    </row>
    <row r="7" spans="2:2" ht="51" customHeight="1" x14ac:dyDescent="0.35">
      <c r="B7" s="13" t="s">
        <v>20</v>
      </c>
    </row>
    <row r="8" spans="2:2" ht="42" customHeight="1" x14ac:dyDescent="0.35">
      <c r="B8" s="13" t="s">
        <v>21</v>
      </c>
    </row>
    <row r="9" spans="2:2" ht="31.25" customHeight="1" x14ac:dyDescent="0.35">
      <c r="B9" s="13" t="s">
        <v>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0B2A0-E114-408F-BB87-614B3A640D18}">
  <dimension ref="A1:J37"/>
  <sheetViews>
    <sheetView tabSelected="1" workbookViewId="0">
      <selection activeCell="B13" sqref="B13"/>
    </sheetView>
  </sheetViews>
  <sheetFormatPr defaultRowHeight="14.5" x14ac:dyDescent="0.35"/>
  <cols>
    <col min="1" max="1" width="24.453125" customWidth="1"/>
    <col min="2" max="2" width="13.36328125" bestFit="1" customWidth="1"/>
    <col min="3" max="3" width="18.7265625" customWidth="1"/>
    <col min="4" max="4" width="29.6328125" customWidth="1"/>
    <col min="10" max="10" width="11.08984375" customWidth="1"/>
  </cols>
  <sheetData>
    <row r="1" spans="1:10" x14ac:dyDescent="0.35">
      <c r="A1" s="49" t="s">
        <v>46</v>
      </c>
      <c r="B1" s="49"/>
      <c r="C1" s="49"/>
      <c r="D1" s="49"/>
      <c r="E1" s="49"/>
      <c r="F1" s="49"/>
      <c r="G1" s="49"/>
      <c r="H1" s="49"/>
      <c r="I1" s="49"/>
      <c r="J1" s="49"/>
    </row>
    <row r="2" spans="1:10" x14ac:dyDescent="0.35">
      <c r="A2">
        <v>1</v>
      </c>
      <c r="B2" s="51" t="s">
        <v>3</v>
      </c>
      <c r="C2" s="51"/>
      <c r="D2" s="51"/>
      <c r="E2" s="31">
        <f>COUNTIF(Expense!C1:C51,B2)</f>
        <v>6</v>
      </c>
    </row>
    <row r="3" spans="1:10" x14ac:dyDescent="0.35">
      <c r="A3">
        <v>2</v>
      </c>
      <c r="B3" s="51" t="s">
        <v>7</v>
      </c>
      <c r="C3" s="51"/>
      <c r="D3" s="51"/>
      <c r="E3" s="31">
        <f>COUNTIF(Expense!C2:C52,B3)</f>
        <v>5</v>
      </c>
    </row>
    <row r="4" spans="1:10" x14ac:dyDescent="0.35">
      <c r="A4">
        <v>3</v>
      </c>
      <c r="B4" s="51" t="s">
        <v>10</v>
      </c>
      <c r="C4" s="51"/>
      <c r="D4" s="51"/>
      <c r="E4" s="31">
        <f>COUNTIF(Expense!C3:C53,B4)</f>
        <v>4</v>
      </c>
    </row>
    <row r="5" spans="1:10" x14ac:dyDescent="0.35">
      <c r="B5" s="51" t="s">
        <v>24</v>
      </c>
      <c r="C5" s="51"/>
      <c r="D5" s="51"/>
      <c r="E5" s="31">
        <f>SUM(E2:E4)</f>
        <v>15</v>
      </c>
    </row>
    <row r="7" spans="1:10" x14ac:dyDescent="0.35">
      <c r="A7" s="49" t="s">
        <v>45</v>
      </c>
      <c r="B7" s="49"/>
      <c r="C7" s="49"/>
      <c r="D7" s="49"/>
      <c r="E7" s="49"/>
      <c r="F7" s="49"/>
      <c r="G7" s="49"/>
      <c r="H7" s="49"/>
      <c r="I7" s="49"/>
      <c r="J7" s="49"/>
    </row>
    <row r="8" spans="1:10" x14ac:dyDescent="0.35">
      <c r="A8" s="40" t="s">
        <v>14</v>
      </c>
      <c r="B8" s="41" t="s">
        <v>25</v>
      </c>
    </row>
    <row r="9" spans="1:10" x14ac:dyDescent="0.35">
      <c r="A9" s="42" t="s">
        <v>2</v>
      </c>
      <c r="B9" s="43">
        <v>7775</v>
      </c>
    </row>
    <row r="10" spans="1:10" x14ac:dyDescent="0.35">
      <c r="A10" s="42" t="s">
        <v>3</v>
      </c>
      <c r="B10" s="43">
        <v>7464</v>
      </c>
    </row>
    <row r="11" spans="1:10" x14ac:dyDescent="0.35">
      <c r="A11" s="42" t="s">
        <v>4</v>
      </c>
      <c r="B11" s="43">
        <v>10194.1</v>
      </c>
    </row>
    <row r="12" spans="1:10" x14ac:dyDescent="0.35">
      <c r="A12" s="42" t="s">
        <v>5</v>
      </c>
      <c r="B12" s="43">
        <v>3217</v>
      </c>
    </row>
    <row r="13" spans="1:10" x14ac:dyDescent="0.35">
      <c r="A13" s="42" t="s">
        <v>6</v>
      </c>
      <c r="B13" s="43">
        <v>3342</v>
      </c>
    </row>
    <row r="14" spans="1:10" x14ac:dyDescent="0.35">
      <c r="A14" s="42" t="s">
        <v>10</v>
      </c>
      <c r="B14" s="43">
        <v>5688</v>
      </c>
    </row>
    <row r="15" spans="1:10" x14ac:dyDescent="0.35">
      <c r="A15" s="42" t="s">
        <v>7</v>
      </c>
      <c r="B15" s="43">
        <v>1857</v>
      </c>
    </row>
    <row r="16" spans="1:10" x14ac:dyDescent="0.35">
      <c r="A16" s="42" t="s">
        <v>8</v>
      </c>
      <c r="B16" s="43">
        <v>2586</v>
      </c>
    </row>
    <row r="17" spans="1:10" x14ac:dyDescent="0.35">
      <c r="A17" s="42" t="s">
        <v>11</v>
      </c>
      <c r="B17" s="43">
        <v>1411.26</v>
      </c>
    </row>
    <row r="18" spans="1:10" x14ac:dyDescent="0.35">
      <c r="A18" s="42" t="s">
        <v>9</v>
      </c>
      <c r="B18" s="43">
        <v>1510.9099999999999</v>
      </c>
    </row>
    <row r="19" spans="1:10" x14ac:dyDescent="0.35">
      <c r="A19" s="42" t="s">
        <v>12</v>
      </c>
      <c r="B19" s="43">
        <v>12000</v>
      </c>
    </row>
    <row r="20" spans="1:10" x14ac:dyDescent="0.35">
      <c r="A20" s="44" t="s">
        <v>26</v>
      </c>
      <c r="B20" s="45">
        <f>SUM(B9:B19)</f>
        <v>57045.270000000004</v>
      </c>
    </row>
    <row r="22" spans="1:10" x14ac:dyDescent="0.35">
      <c r="A22" s="49" t="s">
        <v>44</v>
      </c>
      <c r="B22" s="49"/>
      <c r="C22" s="49"/>
      <c r="D22" s="49"/>
      <c r="E22" s="49"/>
      <c r="F22" s="49"/>
      <c r="G22" s="49"/>
      <c r="H22" s="49"/>
      <c r="I22" s="49"/>
      <c r="J22" s="49"/>
    </row>
    <row r="23" spans="1:10" x14ac:dyDescent="0.35">
      <c r="A23" s="32" t="s">
        <v>14</v>
      </c>
      <c r="B23" s="33" t="s">
        <v>25</v>
      </c>
      <c r="D23" s="28" t="s">
        <v>14</v>
      </c>
      <c r="E23" s="37" t="s">
        <v>25</v>
      </c>
    </row>
    <row r="24" spans="1:10" x14ac:dyDescent="0.35">
      <c r="A24" s="34" t="s">
        <v>2</v>
      </c>
      <c r="B24" s="35">
        <v>7775</v>
      </c>
      <c r="D24" s="38" t="s">
        <v>5</v>
      </c>
      <c r="E24" s="20">
        <v>3217</v>
      </c>
    </row>
    <row r="25" spans="1:10" x14ac:dyDescent="0.35">
      <c r="A25" s="34" t="s">
        <v>3</v>
      </c>
      <c r="B25" s="35">
        <v>7464</v>
      </c>
      <c r="D25" s="38" t="s">
        <v>12</v>
      </c>
      <c r="E25" s="20">
        <v>12000</v>
      </c>
    </row>
    <row r="26" spans="1:10" x14ac:dyDescent="0.35">
      <c r="A26" s="34" t="s">
        <v>4</v>
      </c>
      <c r="B26" s="35">
        <v>10194.1</v>
      </c>
      <c r="D26" s="38" t="s">
        <v>4</v>
      </c>
      <c r="E26" s="20">
        <v>10194.1</v>
      </c>
    </row>
    <row r="27" spans="1:10" x14ac:dyDescent="0.35">
      <c r="A27" s="34" t="s">
        <v>5</v>
      </c>
      <c r="B27" s="35">
        <v>3217</v>
      </c>
      <c r="C27" s="14" t="s">
        <v>35</v>
      </c>
      <c r="D27" s="38" t="s">
        <v>7</v>
      </c>
      <c r="E27" s="20">
        <v>1857</v>
      </c>
    </row>
    <row r="28" spans="1:10" x14ac:dyDescent="0.35">
      <c r="A28" s="34" t="s">
        <v>6</v>
      </c>
      <c r="B28" s="35">
        <v>3342</v>
      </c>
      <c r="D28" s="38" t="s">
        <v>3</v>
      </c>
      <c r="E28" s="20">
        <v>7464</v>
      </c>
    </row>
    <row r="29" spans="1:10" x14ac:dyDescent="0.35">
      <c r="A29" s="34" t="s">
        <v>10</v>
      </c>
      <c r="B29" s="35">
        <v>5688</v>
      </c>
      <c r="D29" s="38" t="s">
        <v>8</v>
      </c>
      <c r="E29" s="20">
        <v>2586</v>
      </c>
    </row>
    <row r="30" spans="1:10" x14ac:dyDescent="0.35">
      <c r="A30" s="34" t="s">
        <v>7</v>
      </c>
      <c r="B30" s="35">
        <v>1857</v>
      </c>
      <c r="D30" s="38" t="s">
        <v>11</v>
      </c>
      <c r="E30" s="20">
        <v>1411.26</v>
      </c>
    </row>
    <row r="31" spans="1:10" x14ac:dyDescent="0.35">
      <c r="A31" s="34" t="s">
        <v>8</v>
      </c>
      <c r="B31" s="35">
        <v>2586</v>
      </c>
      <c r="D31" s="38" t="s">
        <v>2</v>
      </c>
      <c r="E31" s="20">
        <v>7775</v>
      </c>
    </row>
    <row r="32" spans="1:10" x14ac:dyDescent="0.35">
      <c r="A32" s="34" t="s">
        <v>11</v>
      </c>
      <c r="B32" s="35">
        <v>1411.26</v>
      </c>
      <c r="D32" s="38" t="s">
        <v>10</v>
      </c>
      <c r="E32" s="20">
        <v>5688</v>
      </c>
    </row>
    <row r="33" spans="1:10" x14ac:dyDescent="0.35">
      <c r="A33" s="34" t="s">
        <v>9</v>
      </c>
      <c r="B33" s="35">
        <v>1510.9099999999999</v>
      </c>
      <c r="D33" s="38" t="s">
        <v>6</v>
      </c>
      <c r="E33" s="20">
        <v>3342</v>
      </c>
    </row>
    <row r="34" spans="1:10" x14ac:dyDescent="0.35">
      <c r="A34" s="34" t="s">
        <v>12</v>
      </c>
      <c r="B34" s="35">
        <v>12000</v>
      </c>
      <c r="D34" s="38" t="s">
        <v>9</v>
      </c>
      <c r="E34" s="20">
        <v>1510.9099999999999</v>
      </c>
    </row>
    <row r="35" spans="1:10" x14ac:dyDescent="0.35">
      <c r="A35" s="36" t="s">
        <v>26</v>
      </c>
      <c r="B35" s="35">
        <f>SUM(B24:B34)</f>
        <v>57045.270000000004</v>
      </c>
      <c r="D35" s="39" t="s">
        <v>26</v>
      </c>
      <c r="E35" s="20">
        <f>SUM(E24:E34)</f>
        <v>57045.270000000004</v>
      </c>
    </row>
    <row r="37" spans="1:10" x14ac:dyDescent="0.35">
      <c r="A37" s="50" t="s">
        <v>28</v>
      </c>
      <c r="B37" s="50"/>
      <c r="C37" s="50"/>
      <c r="D37" s="50"/>
      <c r="E37" s="50"/>
      <c r="F37" s="50"/>
      <c r="G37" s="50"/>
      <c r="H37" s="50"/>
      <c r="I37" s="50"/>
      <c r="J37" s="50"/>
    </row>
  </sheetData>
  <sortState xmlns:xlrd2="http://schemas.microsoft.com/office/spreadsheetml/2017/richdata2" ref="D24:E34">
    <sortCondition descending="1" ref="D23:D34"/>
  </sortState>
  <mergeCells count="8">
    <mergeCell ref="A22:J22"/>
    <mergeCell ref="A37:J37"/>
    <mergeCell ref="A7:J7"/>
    <mergeCell ref="A1:J1"/>
    <mergeCell ref="B4:D4"/>
    <mergeCell ref="B3:D3"/>
    <mergeCell ref="B2:D2"/>
    <mergeCell ref="B5:D5"/>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5EB41-189B-48A9-8407-09C2EC3E8094}">
  <dimension ref="A1:K106"/>
  <sheetViews>
    <sheetView workbookViewId="0">
      <selection sqref="A1:J1"/>
    </sheetView>
  </sheetViews>
  <sheetFormatPr defaultRowHeight="14.5" x14ac:dyDescent="0.35"/>
  <cols>
    <col min="1" max="1" width="13.08984375" bestFit="1" customWidth="1"/>
    <col min="2" max="2" width="15.1796875" customWidth="1"/>
    <col min="3" max="3" width="14.1796875" customWidth="1"/>
    <col min="4" max="4" width="13.08984375" bestFit="1" customWidth="1"/>
    <col min="8" max="8" width="19.90625" customWidth="1"/>
    <col min="9" max="9" width="21" customWidth="1"/>
    <col min="10" max="10" width="41.36328125" customWidth="1"/>
  </cols>
  <sheetData>
    <row r="1" spans="1:10" x14ac:dyDescent="0.35">
      <c r="A1" s="48" t="s">
        <v>43</v>
      </c>
      <c r="B1" s="48"/>
      <c r="C1" s="48"/>
      <c r="D1" s="48"/>
      <c r="E1" s="48"/>
      <c r="F1" s="48"/>
      <c r="G1" s="48"/>
      <c r="H1" s="48"/>
      <c r="I1" s="48"/>
      <c r="J1" s="48"/>
    </row>
    <row r="2" spans="1:10" x14ac:dyDescent="0.35">
      <c r="A2" s="22" t="s">
        <v>0</v>
      </c>
      <c r="B2" s="22" t="s">
        <v>14</v>
      </c>
      <c r="C2" s="23" t="s">
        <v>1</v>
      </c>
      <c r="D2" s="23" t="s">
        <v>29</v>
      </c>
    </row>
    <row r="3" spans="1:10" x14ac:dyDescent="0.35">
      <c r="A3" s="24">
        <v>44470</v>
      </c>
      <c r="B3" s="16" t="s">
        <v>2</v>
      </c>
      <c r="C3" s="25">
        <v>2300</v>
      </c>
      <c r="D3" s="29" t="s">
        <v>30</v>
      </c>
    </row>
    <row r="4" spans="1:10" x14ac:dyDescent="0.35">
      <c r="A4" s="26">
        <v>44470</v>
      </c>
      <c r="B4" s="15" t="s">
        <v>3</v>
      </c>
      <c r="C4" s="25">
        <v>767</v>
      </c>
      <c r="D4" s="29" t="s">
        <v>31</v>
      </c>
    </row>
    <row r="5" spans="1:10" x14ac:dyDescent="0.35">
      <c r="A5" s="26">
        <v>44470</v>
      </c>
      <c r="B5" s="15" t="s">
        <v>4</v>
      </c>
      <c r="C5" s="27">
        <v>2500</v>
      </c>
      <c r="D5" s="29" t="s">
        <v>31</v>
      </c>
    </row>
    <row r="6" spans="1:10" x14ac:dyDescent="0.35">
      <c r="A6" s="26">
        <v>44473</v>
      </c>
      <c r="B6" s="15" t="s">
        <v>5</v>
      </c>
      <c r="C6" s="25">
        <v>710</v>
      </c>
      <c r="D6" s="29" t="s">
        <v>30</v>
      </c>
    </row>
    <row r="7" spans="1:10" x14ac:dyDescent="0.35">
      <c r="A7" s="24">
        <v>44473</v>
      </c>
      <c r="B7" s="16" t="s">
        <v>6</v>
      </c>
      <c r="C7" s="25">
        <v>760</v>
      </c>
      <c r="D7" s="29" t="s">
        <v>31</v>
      </c>
    </row>
    <row r="8" spans="1:10" x14ac:dyDescent="0.35">
      <c r="A8" s="26">
        <v>44476</v>
      </c>
      <c r="B8" s="15" t="s">
        <v>10</v>
      </c>
      <c r="C8" s="27">
        <v>1900</v>
      </c>
      <c r="D8" s="29" t="s">
        <v>31</v>
      </c>
    </row>
    <row r="9" spans="1:10" x14ac:dyDescent="0.35">
      <c r="A9" s="24">
        <v>44477</v>
      </c>
      <c r="B9" s="16" t="s">
        <v>7</v>
      </c>
      <c r="C9" s="25">
        <v>450</v>
      </c>
      <c r="D9" s="29" t="s">
        <v>31</v>
      </c>
    </row>
    <row r="10" spans="1:10" x14ac:dyDescent="0.35">
      <c r="A10" s="26">
        <v>44484</v>
      </c>
      <c r="B10" s="15" t="s">
        <v>8</v>
      </c>
      <c r="C10" s="25">
        <v>620</v>
      </c>
      <c r="D10" s="29" t="s">
        <v>31</v>
      </c>
    </row>
    <row r="11" spans="1:10" x14ac:dyDescent="0.35">
      <c r="A11" s="26">
        <v>44485</v>
      </c>
      <c r="B11" s="15" t="s">
        <v>11</v>
      </c>
      <c r="C11" s="25">
        <v>470</v>
      </c>
      <c r="D11" s="29" t="s">
        <v>30</v>
      </c>
    </row>
    <row r="12" spans="1:10" x14ac:dyDescent="0.35">
      <c r="A12" s="26">
        <v>44487</v>
      </c>
      <c r="B12" s="15" t="s">
        <v>3</v>
      </c>
      <c r="C12" s="25">
        <v>970</v>
      </c>
      <c r="D12" s="29" t="s">
        <v>31</v>
      </c>
    </row>
    <row r="13" spans="1:10" x14ac:dyDescent="0.35">
      <c r="A13" s="26">
        <v>44487</v>
      </c>
      <c r="B13" s="16" t="s">
        <v>2</v>
      </c>
      <c r="C13" s="27">
        <v>1075</v>
      </c>
      <c r="D13" s="29" t="s">
        <v>30</v>
      </c>
    </row>
    <row r="14" spans="1:10" x14ac:dyDescent="0.35">
      <c r="A14" s="26">
        <v>44488</v>
      </c>
      <c r="B14" s="15" t="s">
        <v>7</v>
      </c>
      <c r="C14" s="25">
        <v>489</v>
      </c>
      <c r="D14" s="29" t="s">
        <v>31</v>
      </c>
    </row>
    <row r="15" spans="1:10" x14ac:dyDescent="0.35">
      <c r="A15" s="26">
        <v>44491</v>
      </c>
      <c r="B15" s="15" t="s">
        <v>4</v>
      </c>
      <c r="C15" s="27">
        <v>1574.1</v>
      </c>
      <c r="D15" s="29" t="s">
        <v>31</v>
      </c>
    </row>
    <row r="16" spans="1:10" x14ac:dyDescent="0.35">
      <c r="A16" s="26">
        <v>44491</v>
      </c>
      <c r="B16" s="15" t="s">
        <v>6</v>
      </c>
      <c r="C16" s="25">
        <v>550</v>
      </c>
      <c r="D16" s="29" t="s">
        <v>31</v>
      </c>
    </row>
    <row r="17" spans="1:4" x14ac:dyDescent="0.35">
      <c r="A17" s="26">
        <v>44494</v>
      </c>
      <c r="B17" s="15" t="s">
        <v>9</v>
      </c>
      <c r="C17" s="25">
        <v>423</v>
      </c>
      <c r="D17" s="29" t="s">
        <v>30</v>
      </c>
    </row>
    <row r="18" spans="1:4" x14ac:dyDescent="0.35">
      <c r="A18" s="26">
        <v>44496</v>
      </c>
      <c r="B18" s="15" t="s">
        <v>9</v>
      </c>
      <c r="C18" s="25">
        <v>358.22</v>
      </c>
      <c r="D18" s="29" t="s">
        <v>30</v>
      </c>
    </row>
    <row r="19" spans="1:4" x14ac:dyDescent="0.35">
      <c r="A19" s="26">
        <v>44496</v>
      </c>
      <c r="B19" s="15" t="s">
        <v>8</v>
      </c>
      <c r="C19" s="25">
        <v>520</v>
      </c>
      <c r="D19" s="29" t="s">
        <v>31</v>
      </c>
    </row>
    <row r="20" spans="1:4" x14ac:dyDescent="0.35">
      <c r="A20" s="24">
        <v>44497</v>
      </c>
      <c r="B20" s="16" t="s">
        <v>5</v>
      </c>
      <c r="C20" s="25">
        <v>300</v>
      </c>
      <c r="D20" s="29" t="s">
        <v>30</v>
      </c>
    </row>
    <row r="21" spans="1:4" x14ac:dyDescent="0.35">
      <c r="A21" s="24">
        <v>44498</v>
      </c>
      <c r="B21" s="16" t="s">
        <v>9</v>
      </c>
      <c r="C21" s="25">
        <v>407.05</v>
      </c>
      <c r="D21" s="29" t="s">
        <v>30</v>
      </c>
    </row>
    <row r="22" spans="1:4" x14ac:dyDescent="0.35">
      <c r="A22" s="24">
        <v>44499</v>
      </c>
      <c r="B22" s="16" t="s">
        <v>4</v>
      </c>
      <c r="C22" s="25">
        <v>300</v>
      </c>
      <c r="D22" s="29" t="s">
        <v>31</v>
      </c>
    </row>
    <row r="23" spans="1:4" x14ac:dyDescent="0.35">
      <c r="A23" s="26">
        <v>44501</v>
      </c>
      <c r="B23" s="15" t="s">
        <v>3</v>
      </c>
      <c r="C23" s="27">
        <v>2327</v>
      </c>
      <c r="D23" s="29" t="s">
        <v>31</v>
      </c>
    </row>
    <row r="24" spans="1:4" x14ac:dyDescent="0.35">
      <c r="A24" s="26">
        <v>44502</v>
      </c>
      <c r="B24" s="15" t="s">
        <v>10</v>
      </c>
      <c r="C24" s="25">
        <v>1150</v>
      </c>
      <c r="D24" s="29" t="s">
        <v>31</v>
      </c>
    </row>
    <row r="25" spans="1:4" x14ac:dyDescent="0.35">
      <c r="A25" s="26">
        <v>44504</v>
      </c>
      <c r="B25" s="15" t="s">
        <v>10</v>
      </c>
      <c r="C25" s="27">
        <v>1138</v>
      </c>
      <c r="D25" s="29" t="s">
        <v>31</v>
      </c>
    </row>
    <row r="26" spans="1:4" x14ac:dyDescent="0.35">
      <c r="A26" s="24">
        <v>44505</v>
      </c>
      <c r="B26" s="16" t="s">
        <v>13</v>
      </c>
      <c r="C26" s="25">
        <v>500</v>
      </c>
      <c r="D26" s="29" t="s">
        <v>31</v>
      </c>
    </row>
    <row r="27" spans="1:4" x14ac:dyDescent="0.35">
      <c r="A27" s="24">
        <v>44508</v>
      </c>
      <c r="B27" s="16" t="s">
        <v>6</v>
      </c>
      <c r="C27" s="25">
        <v>702</v>
      </c>
      <c r="D27" s="29" t="s">
        <v>31</v>
      </c>
    </row>
    <row r="28" spans="1:4" x14ac:dyDescent="0.35">
      <c r="A28" s="26">
        <v>44509</v>
      </c>
      <c r="B28" s="15" t="s">
        <v>4</v>
      </c>
      <c r="C28" s="27">
        <v>1600</v>
      </c>
      <c r="D28" s="29" t="s">
        <v>31</v>
      </c>
    </row>
    <row r="29" spans="1:4" x14ac:dyDescent="0.35">
      <c r="A29" s="26">
        <v>44512</v>
      </c>
      <c r="B29" s="15" t="s">
        <v>5</v>
      </c>
      <c r="C29" s="25">
        <v>600</v>
      </c>
      <c r="D29" s="29" t="s">
        <v>30</v>
      </c>
    </row>
    <row r="30" spans="1:4" x14ac:dyDescent="0.35">
      <c r="A30" s="24">
        <v>44515</v>
      </c>
      <c r="B30" s="16" t="s">
        <v>13</v>
      </c>
      <c r="C30" s="25">
        <v>900</v>
      </c>
      <c r="D30" s="29" t="s">
        <v>31</v>
      </c>
    </row>
    <row r="31" spans="1:4" x14ac:dyDescent="0.35">
      <c r="A31" s="26">
        <v>44515</v>
      </c>
      <c r="B31" s="16" t="s">
        <v>6</v>
      </c>
      <c r="C31" s="25">
        <v>150</v>
      </c>
      <c r="D31" s="29" t="s">
        <v>31</v>
      </c>
    </row>
    <row r="32" spans="1:4" x14ac:dyDescent="0.35">
      <c r="A32" s="24">
        <v>44515</v>
      </c>
      <c r="B32" s="16" t="s">
        <v>2</v>
      </c>
      <c r="C32" s="25">
        <v>2100</v>
      </c>
      <c r="D32" s="29" t="s">
        <v>30</v>
      </c>
    </row>
    <row r="33" spans="1:4" x14ac:dyDescent="0.35">
      <c r="A33" s="24">
        <v>44517</v>
      </c>
      <c r="B33" s="16" t="s">
        <v>11</v>
      </c>
      <c r="C33" s="25">
        <v>470.63</v>
      </c>
      <c r="D33" s="29" t="s">
        <v>30</v>
      </c>
    </row>
    <row r="34" spans="1:4" x14ac:dyDescent="0.35">
      <c r="A34" s="24">
        <v>44517</v>
      </c>
      <c r="B34" s="16" t="s">
        <v>9</v>
      </c>
      <c r="C34" s="25">
        <v>322.64</v>
      </c>
      <c r="D34" s="29" t="s">
        <v>30</v>
      </c>
    </row>
    <row r="35" spans="1:4" x14ac:dyDescent="0.35">
      <c r="A35" s="24">
        <v>44518</v>
      </c>
      <c r="B35" s="15" t="s">
        <v>8</v>
      </c>
      <c r="C35" s="25">
        <v>428</v>
      </c>
      <c r="D35" s="29" t="s">
        <v>31</v>
      </c>
    </row>
    <row r="36" spans="1:4" x14ac:dyDescent="0.35">
      <c r="A36" s="24">
        <v>44519</v>
      </c>
      <c r="B36" s="16" t="s">
        <v>5</v>
      </c>
      <c r="C36" s="25">
        <v>447</v>
      </c>
      <c r="D36" s="29" t="s">
        <v>30</v>
      </c>
    </row>
    <row r="37" spans="1:4" x14ac:dyDescent="0.35">
      <c r="A37" s="24">
        <v>44522</v>
      </c>
      <c r="B37" s="16" t="s">
        <v>4</v>
      </c>
      <c r="C37" s="27">
        <v>1720</v>
      </c>
      <c r="D37" s="29" t="s">
        <v>31</v>
      </c>
    </row>
    <row r="38" spans="1:4" x14ac:dyDescent="0.35">
      <c r="A38" s="26">
        <v>44524</v>
      </c>
      <c r="B38" s="15" t="s">
        <v>6</v>
      </c>
      <c r="C38" s="25">
        <v>540</v>
      </c>
      <c r="D38" s="29" t="s">
        <v>31</v>
      </c>
    </row>
    <row r="39" spans="1:4" x14ac:dyDescent="0.35">
      <c r="A39" s="24">
        <v>44525</v>
      </c>
      <c r="B39" s="16" t="s">
        <v>7</v>
      </c>
      <c r="C39" s="25">
        <v>314</v>
      </c>
      <c r="D39" s="29" t="s">
        <v>31</v>
      </c>
    </row>
    <row r="40" spans="1:4" x14ac:dyDescent="0.35">
      <c r="A40" s="24">
        <v>44526</v>
      </c>
      <c r="B40" s="16" t="s">
        <v>8</v>
      </c>
      <c r="C40" s="25">
        <v>518</v>
      </c>
      <c r="D40" s="29" t="s">
        <v>31</v>
      </c>
    </row>
    <row r="41" spans="1:4" x14ac:dyDescent="0.35">
      <c r="A41" s="24">
        <v>44526</v>
      </c>
      <c r="B41" s="15" t="s">
        <v>3</v>
      </c>
      <c r="C41" s="27">
        <v>2000</v>
      </c>
      <c r="D41" s="29" t="s">
        <v>31</v>
      </c>
    </row>
    <row r="42" spans="1:4" x14ac:dyDescent="0.35">
      <c r="A42" s="26">
        <v>44529</v>
      </c>
      <c r="B42" s="15" t="s">
        <v>7</v>
      </c>
      <c r="C42" s="25">
        <v>337</v>
      </c>
      <c r="D42" s="29" t="s">
        <v>31</v>
      </c>
    </row>
    <row r="43" spans="1:4" x14ac:dyDescent="0.35">
      <c r="A43" s="24">
        <v>44530</v>
      </c>
      <c r="B43" s="16" t="s">
        <v>8</v>
      </c>
      <c r="C43" s="25">
        <v>500</v>
      </c>
      <c r="D43" s="29" t="s">
        <v>31</v>
      </c>
    </row>
    <row r="44" spans="1:4" x14ac:dyDescent="0.35">
      <c r="A44" s="24">
        <v>44531</v>
      </c>
      <c r="B44" s="16" t="s">
        <v>4</v>
      </c>
      <c r="C44" s="27">
        <v>2500</v>
      </c>
      <c r="D44" s="29" t="s">
        <v>31</v>
      </c>
    </row>
    <row r="45" spans="1:4" x14ac:dyDescent="0.35">
      <c r="A45" s="26">
        <v>44534</v>
      </c>
      <c r="B45" s="15" t="s">
        <v>5</v>
      </c>
      <c r="C45" s="25">
        <v>710</v>
      </c>
      <c r="D45" s="29" t="s">
        <v>30</v>
      </c>
    </row>
    <row r="46" spans="1:4" x14ac:dyDescent="0.35">
      <c r="A46" s="24">
        <v>44537</v>
      </c>
      <c r="B46" s="16" t="s">
        <v>2</v>
      </c>
      <c r="C46" s="25">
        <v>2300</v>
      </c>
      <c r="D46" s="29" t="s">
        <v>30</v>
      </c>
    </row>
    <row r="47" spans="1:4" x14ac:dyDescent="0.35">
      <c r="A47" s="24">
        <v>44539</v>
      </c>
      <c r="B47" s="16" t="s">
        <v>12</v>
      </c>
      <c r="C47" s="25">
        <v>12000</v>
      </c>
      <c r="D47" s="29" t="s">
        <v>31</v>
      </c>
    </row>
    <row r="48" spans="1:4" x14ac:dyDescent="0.35">
      <c r="A48" s="24">
        <v>44545</v>
      </c>
      <c r="B48" s="15" t="s">
        <v>10</v>
      </c>
      <c r="C48" s="25">
        <v>1500</v>
      </c>
      <c r="D48" s="29" t="s">
        <v>31</v>
      </c>
    </row>
    <row r="49" spans="1:11" x14ac:dyDescent="0.35">
      <c r="A49" s="24">
        <v>44547</v>
      </c>
      <c r="B49" s="16" t="s">
        <v>11</v>
      </c>
      <c r="C49" s="25">
        <v>470.63</v>
      </c>
      <c r="D49" s="29" t="s">
        <v>30</v>
      </c>
    </row>
    <row r="50" spans="1:11" x14ac:dyDescent="0.35">
      <c r="A50" s="24">
        <v>44550</v>
      </c>
      <c r="B50" s="16" t="s">
        <v>7</v>
      </c>
      <c r="C50" s="25">
        <v>267</v>
      </c>
      <c r="D50" s="29" t="s">
        <v>31</v>
      </c>
    </row>
    <row r="51" spans="1:11" x14ac:dyDescent="0.35">
      <c r="A51" s="24">
        <v>44553</v>
      </c>
      <c r="B51" s="16" t="s">
        <v>6</v>
      </c>
      <c r="C51" s="25">
        <v>640</v>
      </c>
      <c r="D51" s="29" t="s">
        <v>31</v>
      </c>
    </row>
    <row r="52" spans="1:11" x14ac:dyDescent="0.35">
      <c r="A52" s="24">
        <v>44553</v>
      </c>
      <c r="B52" s="16" t="s">
        <v>5</v>
      </c>
      <c r="C52" s="25">
        <v>450</v>
      </c>
      <c r="D52" s="29" t="s">
        <v>30</v>
      </c>
    </row>
    <row r="53" spans="1:11" ht="31" x14ac:dyDescent="0.35">
      <c r="A53" s="2"/>
      <c r="C53" s="11">
        <f>SUM(C3:C52)</f>
        <v>57045.27</v>
      </c>
    </row>
    <row r="55" spans="1:11" x14ac:dyDescent="0.35">
      <c r="A55" s="48" t="s">
        <v>42</v>
      </c>
      <c r="B55" s="48"/>
      <c r="C55" s="48"/>
      <c r="D55" s="48"/>
      <c r="E55" s="48"/>
      <c r="F55" s="48"/>
      <c r="G55" s="48"/>
      <c r="H55" s="48"/>
      <c r="I55" s="48"/>
      <c r="J55" s="48"/>
      <c r="K55" s="48"/>
    </row>
    <row r="56" spans="1:11" x14ac:dyDescent="0.35">
      <c r="A56" s="22" t="s">
        <v>14</v>
      </c>
      <c r="B56" s="23" t="s">
        <v>1</v>
      </c>
      <c r="C56" s="23" t="s">
        <v>32</v>
      </c>
    </row>
    <row r="57" spans="1:11" x14ac:dyDescent="0.35">
      <c r="A57" s="16" t="s">
        <v>2</v>
      </c>
      <c r="B57" s="25">
        <v>2300</v>
      </c>
      <c r="C57" s="30" t="str">
        <f>IF(B57&gt;2000,"over budget","within budget")</f>
        <v>over budget</v>
      </c>
    </row>
    <row r="58" spans="1:11" x14ac:dyDescent="0.35">
      <c r="A58" s="15" t="s">
        <v>3</v>
      </c>
      <c r="B58" s="25">
        <v>767</v>
      </c>
      <c r="C58" s="30" t="str">
        <f t="shared" ref="C58:C106" si="0">IF(B58&gt;2000,"over budget","within budget")</f>
        <v>within budget</v>
      </c>
    </row>
    <row r="59" spans="1:11" x14ac:dyDescent="0.35">
      <c r="A59" s="15" t="s">
        <v>4</v>
      </c>
      <c r="B59" s="27">
        <v>2500</v>
      </c>
      <c r="C59" s="30" t="str">
        <f t="shared" si="0"/>
        <v>over budget</v>
      </c>
    </row>
    <row r="60" spans="1:11" x14ac:dyDescent="0.35">
      <c r="A60" s="15" t="s">
        <v>5</v>
      </c>
      <c r="B60" s="25">
        <v>710</v>
      </c>
      <c r="C60" s="30" t="str">
        <f t="shared" si="0"/>
        <v>within budget</v>
      </c>
    </row>
    <row r="61" spans="1:11" x14ac:dyDescent="0.35">
      <c r="A61" s="16" t="s">
        <v>6</v>
      </c>
      <c r="B61" s="25">
        <v>760</v>
      </c>
      <c r="C61" s="30" t="str">
        <f t="shared" si="0"/>
        <v>within budget</v>
      </c>
    </row>
    <row r="62" spans="1:11" x14ac:dyDescent="0.35">
      <c r="A62" s="15" t="s">
        <v>10</v>
      </c>
      <c r="B62" s="27">
        <v>1900</v>
      </c>
      <c r="C62" s="30" t="str">
        <f t="shared" si="0"/>
        <v>within budget</v>
      </c>
    </row>
    <row r="63" spans="1:11" x14ac:dyDescent="0.35">
      <c r="A63" s="16" t="s">
        <v>7</v>
      </c>
      <c r="B63" s="25">
        <v>450</v>
      </c>
      <c r="C63" s="30" t="str">
        <f t="shared" si="0"/>
        <v>within budget</v>
      </c>
    </row>
    <row r="64" spans="1:11" x14ac:dyDescent="0.35">
      <c r="A64" s="15" t="s">
        <v>8</v>
      </c>
      <c r="B64" s="25">
        <v>620</v>
      </c>
      <c r="C64" s="30" t="str">
        <f t="shared" si="0"/>
        <v>within budget</v>
      </c>
    </row>
    <row r="65" spans="1:3" x14ac:dyDescent="0.35">
      <c r="A65" s="15" t="s">
        <v>11</v>
      </c>
      <c r="B65" s="25">
        <v>470</v>
      </c>
      <c r="C65" s="30" t="str">
        <f t="shared" si="0"/>
        <v>within budget</v>
      </c>
    </row>
    <row r="66" spans="1:3" x14ac:dyDescent="0.35">
      <c r="A66" s="15" t="s">
        <v>3</v>
      </c>
      <c r="B66" s="25">
        <v>970</v>
      </c>
      <c r="C66" s="30" t="str">
        <f t="shared" si="0"/>
        <v>within budget</v>
      </c>
    </row>
    <row r="67" spans="1:3" x14ac:dyDescent="0.35">
      <c r="A67" s="16" t="s">
        <v>2</v>
      </c>
      <c r="B67" s="27">
        <v>1075</v>
      </c>
      <c r="C67" s="30" t="str">
        <f t="shared" si="0"/>
        <v>within budget</v>
      </c>
    </row>
    <row r="68" spans="1:3" x14ac:dyDescent="0.35">
      <c r="A68" s="15" t="s">
        <v>7</v>
      </c>
      <c r="B68" s="25">
        <v>489</v>
      </c>
      <c r="C68" s="30" t="str">
        <f t="shared" si="0"/>
        <v>within budget</v>
      </c>
    </row>
    <row r="69" spans="1:3" x14ac:dyDescent="0.35">
      <c r="A69" s="15" t="s">
        <v>4</v>
      </c>
      <c r="B69" s="27">
        <v>1574.1</v>
      </c>
      <c r="C69" s="30" t="str">
        <f t="shared" si="0"/>
        <v>within budget</v>
      </c>
    </row>
    <row r="70" spans="1:3" x14ac:dyDescent="0.35">
      <c r="A70" s="15" t="s">
        <v>6</v>
      </c>
      <c r="B70" s="25">
        <v>550</v>
      </c>
      <c r="C70" s="30" t="str">
        <f t="shared" si="0"/>
        <v>within budget</v>
      </c>
    </row>
    <row r="71" spans="1:3" x14ac:dyDescent="0.35">
      <c r="A71" s="15" t="s">
        <v>9</v>
      </c>
      <c r="B71" s="25">
        <v>423</v>
      </c>
      <c r="C71" s="30" t="str">
        <f t="shared" si="0"/>
        <v>within budget</v>
      </c>
    </row>
    <row r="72" spans="1:3" x14ac:dyDescent="0.35">
      <c r="A72" s="15" t="s">
        <v>9</v>
      </c>
      <c r="B72" s="25">
        <v>358.22</v>
      </c>
      <c r="C72" s="30" t="str">
        <f t="shared" si="0"/>
        <v>within budget</v>
      </c>
    </row>
    <row r="73" spans="1:3" x14ac:dyDescent="0.35">
      <c r="A73" s="15" t="s">
        <v>8</v>
      </c>
      <c r="B73" s="25">
        <v>520</v>
      </c>
      <c r="C73" s="30" t="str">
        <f t="shared" si="0"/>
        <v>within budget</v>
      </c>
    </row>
    <row r="74" spans="1:3" x14ac:dyDescent="0.35">
      <c r="A74" s="16" t="s">
        <v>5</v>
      </c>
      <c r="B74" s="25">
        <v>300</v>
      </c>
      <c r="C74" s="30" t="str">
        <f t="shared" si="0"/>
        <v>within budget</v>
      </c>
    </row>
    <row r="75" spans="1:3" x14ac:dyDescent="0.35">
      <c r="A75" s="16" t="s">
        <v>9</v>
      </c>
      <c r="B75" s="25">
        <v>407.05</v>
      </c>
      <c r="C75" s="30" t="str">
        <f t="shared" si="0"/>
        <v>within budget</v>
      </c>
    </row>
    <row r="76" spans="1:3" x14ac:dyDescent="0.35">
      <c r="A76" s="16" t="s">
        <v>4</v>
      </c>
      <c r="B76" s="25">
        <v>300</v>
      </c>
      <c r="C76" s="30" t="str">
        <f t="shared" si="0"/>
        <v>within budget</v>
      </c>
    </row>
    <row r="77" spans="1:3" x14ac:dyDescent="0.35">
      <c r="A77" s="15" t="s">
        <v>3</v>
      </c>
      <c r="B77" s="27">
        <v>2327</v>
      </c>
      <c r="C77" s="30" t="str">
        <f t="shared" si="0"/>
        <v>over budget</v>
      </c>
    </row>
    <row r="78" spans="1:3" x14ac:dyDescent="0.35">
      <c r="A78" s="15" t="s">
        <v>10</v>
      </c>
      <c r="B78" s="25">
        <v>1150</v>
      </c>
      <c r="C78" s="30" t="str">
        <f t="shared" si="0"/>
        <v>within budget</v>
      </c>
    </row>
    <row r="79" spans="1:3" x14ac:dyDescent="0.35">
      <c r="A79" s="15" t="s">
        <v>10</v>
      </c>
      <c r="B79" s="27">
        <v>1138</v>
      </c>
      <c r="C79" s="30" t="str">
        <f t="shared" si="0"/>
        <v>within budget</v>
      </c>
    </row>
    <row r="80" spans="1:3" x14ac:dyDescent="0.35">
      <c r="A80" s="16" t="s">
        <v>13</v>
      </c>
      <c r="B80" s="25">
        <v>500</v>
      </c>
      <c r="C80" s="30" t="str">
        <f t="shared" si="0"/>
        <v>within budget</v>
      </c>
    </row>
    <row r="81" spans="1:3" x14ac:dyDescent="0.35">
      <c r="A81" s="16" t="s">
        <v>6</v>
      </c>
      <c r="B81" s="25">
        <v>702</v>
      </c>
      <c r="C81" s="30" t="str">
        <f t="shared" si="0"/>
        <v>within budget</v>
      </c>
    </row>
    <row r="82" spans="1:3" x14ac:dyDescent="0.35">
      <c r="A82" s="15" t="s">
        <v>4</v>
      </c>
      <c r="B82" s="27">
        <v>1600</v>
      </c>
      <c r="C82" s="30" t="str">
        <f t="shared" si="0"/>
        <v>within budget</v>
      </c>
    </row>
    <row r="83" spans="1:3" x14ac:dyDescent="0.35">
      <c r="A83" s="15" t="s">
        <v>5</v>
      </c>
      <c r="B83" s="25">
        <v>600</v>
      </c>
      <c r="C83" s="30" t="str">
        <f t="shared" si="0"/>
        <v>within budget</v>
      </c>
    </row>
    <row r="84" spans="1:3" x14ac:dyDescent="0.35">
      <c r="A84" s="16" t="s">
        <v>13</v>
      </c>
      <c r="B84" s="25">
        <v>900</v>
      </c>
      <c r="C84" s="30" t="str">
        <f t="shared" si="0"/>
        <v>within budget</v>
      </c>
    </row>
    <row r="85" spans="1:3" x14ac:dyDescent="0.35">
      <c r="A85" s="16" t="s">
        <v>6</v>
      </c>
      <c r="B85" s="25">
        <v>150</v>
      </c>
      <c r="C85" s="30" t="str">
        <f t="shared" si="0"/>
        <v>within budget</v>
      </c>
    </row>
    <row r="86" spans="1:3" x14ac:dyDescent="0.35">
      <c r="A86" s="16" t="s">
        <v>2</v>
      </c>
      <c r="B86" s="25">
        <v>2100</v>
      </c>
      <c r="C86" s="30" t="str">
        <f t="shared" si="0"/>
        <v>over budget</v>
      </c>
    </row>
    <row r="87" spans="1:3" x14ac:dyDescent="0.35">
      <c r="A87" s="16" t="s">
        <v>11</v>
      </c>
      <c r="B87" s="25">
        <v>470.63</v>
      </c>
      <c r="C87" s="30" t="str">
        <f t="shared" si="0"/>
        <v>within budget</v>
      </c>
    </row>
    <row r="88" spans="1:3" x14ac:dyDescent="0.35">
      <c r="A88" s="16" t="s">
        <v>9</v>
      </c>
      <c r="B88" s="25">
        <v>322.64</v>
      </c>
      <c r="C88" s="30" t="str">
        <f t="shared" si="0"/>
        <v>within budget</v>
      </c>
    </row>
    <row r="89" spans="1:3" x14ac:dyDescent="0.35">
      <c r="A89" s="15" t="s">
        <v>8</v>
      </c>
      <c r="B89" s="25">
        <v>428</v>
      </c>
      <c r="C89" s="30" t="str">
        <f t="shared" si="0"/>
        <v>within budget</v>
      </c>
    </row>
    <row r="90" spans="1:3" x14ac:dyDescent="0.35">
      <c r="A90" s="16" t="s">
        <v>5</v>
      </c>
      <c r="B90" s="25">
        <v>447</v>
      </c>
      <c r="C90" s="30" t="str">
        <f t="shared" si="0"/>
        <v>within budget</v>
      </c>
    </row>
    <row r="91" spans="1:3" x14ac:dyDescent="0.35">
      <c r="A91" s="16" t="s">
        <v>4</v>
      </c>
      <c r="B91" s="27">
        <v>1720</v>
      </c>
      <c r="C91" s="30" t="str">
        <f t="shared" si="0"/>
        <v>within budget</v>
      </c>
    </row>
    <row r="92" spans="1:3" x14ac:dyDescent="0.35">
      <c r="A92" s="15" t="s">
        <v>6</v>
      </c>
      <c r="B92" s="25">
        <v>540</v>
      </c>
      <c r="C92" s="30" t="str">
        <f t="shared" si="0"/>
        <v>within budget</v>
      </c>
    </row>
    <row r="93" spans="1:3" x14ac:dyDescent="0.35">
      <c r="A93" s="16" t="s">
        <v>7</v>
      </c>
      <c r="B93" s="25">
        <v>314</v>
      </c>
      <c r="C93" s="30" t="str">
        <f t="shared" si="0"/>
        <v>within budget</v>
      </c>
    </row>
    <row r="94" spans="1:3" x14ac:dyDescent="0.35">
      <c r="A94" s="16" t="s">
        <v>8</v>
      </c>
      <c r="B94" s="25">
        <v>518</v>
      </c>
      <c r="C94" s="30" t="str">
        <f t="shared" si="0"/>
        <v>within budget</v>
      </c>
    </row>
    <row r="95" spans="1:3" x14ac:dyDescent="0.35">
      <c r="A95" s="15" t="s">
        <v>3</v>
      </c>
      <c r="B95" s="27">
        <v>2000</v>
      </c>
      <c r="C95" s="30" t="str">
        <f t="shared" si="0"/>
        <v>within budget</v>
      </c>
    </row>
    <row r="96" spans="1:3" x14ac:dyDescent="0.35">
      <c r="A96" s="15" t="s">
        <v>7</v>
      </c>
      <c r="B96" s="25">
        <v>337</v>
      </c>
      <c r="C96" s="30" t="str">
        <f t="shared" si="0"/>
        <v>within budget</v>
      </c>
    </row>
    <row r="97" spans="1:3" x14ac:dyDescent="0.35">
      <c r="A97" s="16" t="s">
        <v>8</v>
      </c>
      <c r="B97" s="25">
        <v>500</v>
      </c>
      <c r="C97" s="30" t="str">
        <f t="shared" si="0"/>
        <v>within budget</v>
      </c>
    </row>
    <row r="98" spans="1:3" x14ac:dyDescent="0.35">
      <c r="A98" s="16" t="s">
        <v>4</v>
      </c>
      <c r="B98" s="27">
        <v>2500</v>
      </c>
      <c r="C98" s="30" t="str">
        <f t="shared" si="0"/>
        <v>over budget</v>
      </c>
    </row>
    <row r="99" spans="1:3" x14ac:dyDescent="0.35">
      <c r="A99" s="15" t="s">
        <v>5</v>
      </c>
      <c r="B99" s="25">
        <v>710</v>
      </c>
      <c r="C99" s="30" t="str">
        <f t="shared" si="0"/>
        <v>within budget</v>
      </c>
    </row>
    <row r="100" spans="1:3" x14ac:dyDescent="0.35">
      <c r="A100" s="16" t="s">
        <v>2</v>
      </c>
      <c r="B100" s="25">
        <v>2300</v>
      </c>
      <c r="C100" s="30" t="str">
        <f t="shared" si="0"/>
        <v>over budget</v>
      </c>
    </row>
    <row r="101" spans="1:3" x14ac:dyDescent="0.35">
      <c r="A101" s="16" t="s">
        <v>12</v>
      </c>
      <c r="B101" s="25">
        <v>12000</v>
      </c>
      <c r="C101" s="30" t="str">
        <f t="shared" si="0"/>
        <v>over budget</v>
      </c>
    </row>
    <row r="102" spans="1:3" x14ac:dyDescent="0.35">
      <c r="A102" s="15" t="s">
        <v>10</v>
      </c>
      <c r="B102" s="25">
        <v>1500</v>
      </c>
      <c r="C102" s="30" t="str">
        <f t="shared" si="0"/>
        <v>within budget</v>
      </c>
    </row>
    <row r="103" spans="1:3" x14ac:dyDescent="0.35">
      <c r="A103" s="16" t="s">
        <v>11</v>
      </c>
      <c r="B103" s="25">
        <v>470.63</v>
      </c>
      <c r="C103" s="30" t="str">
        <f t="shared" si="0"/>
        <v>within budget</v>
      </c>
    </row>
    <row r="104" spans="1:3" x14ac:dyDescent="0.35">
      <c r="A104" s="16" t="s">
        <v>7</v>
      </c>
      <c r="B104" s="25">
        <v>267</v>
      </c>
      <c r="C104" s="30" t="str">
        <f t="shared" si="0"/>
        <v>within budget</v>
      </c>
    </row>
    <row r="105" spans="1:3" x14ac:dyDescent="0.35">
      <c r="A105" s="16" t="s">
        <v>6</v>
      </c>
      <c r="B105" s="25">
        <v>640</v>
      </c>
      <c r="C105" s="30" t="str">
        <f t="shared" si="0"/>
        <v>within budget</v>
      </c>
    </row>
    <row r="106" spans="1:3" x14ac:dyDescent="0.35">
      <c r="A106" s="16" t="s">
        <v>5</v>
      </c>
      <c r="B106" s="25">
        <v>450</v>
      </c>
      <c r="C106" s="30" t="str">
        <f t="shared" si="0"/>
        <v>within budget</v>
      </c>
    </row>
  </sheetData>
  <mergeCells count="2">
    <mergeCell ref="A1:J1"/>
    <mergeCell ref="A55:K55"/>
  </mergeCells>
  <dataValidations count="1">
    <dataValidation type="list" allowBlank="1" showInputMessage="1" showErrorMessage="1" sqref="D3:D52" xr:uid="{64E7BE7B-6823-4610-9C8A-DE052723E4B0}">
      <formula1>"Essentials, Non-essentials"</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5F8E3-73A2-4E9B-B4CF-C09F70FBC901}">
  <dimension ref="A1:O72"/>
  <sheetViews>
    <sheetView workbookViewId="0">
      <selection sqref="A1:I3"/>
    </sheetView>
  </sheetViews>
  <sheetFormatPr defaultRowHeight="14.5" x14ac:dyDescent="0.35"/>
  <cols>
    <col min="1" max="1" width="13.08984375" bestFit="1" customWidth="1"/>
    <col min="2" max="2" width="22.54296875" bestFit="1" customWidth="1"/>
    <col min="4" max="4" width="9" customWidth="1"/>
    <col min="15" max="15" width="10.08984375" bestFit="1" customWidth="1"/>
  </cols>
  <sheetData>
    <row r="1" spans="1:15" x14ac:dyDescent="0.35">
      <c r="A1" s="52" t="s">
        <v>41</v>
      </c>
      <c r="B1" s="52"/>
      <c r="C1" s="52"/>
      <c r="D1" s="52"/>
      <c r="E1" s="52"/>
      <c r="F1" s="52"/>
      <c r="G1" s="52"/>
      <c r="H1" s="52"/>
      <c r="I1" s="52"/>
    </row>
    <row r="2" spans="1:15" x14ac:dyDescent="0.35">
      <c r="A2" s="52"/>
      <c r="B2" s="52"/>
      <c r="C2" s="52"/>
      <c r="D2" s="52"/>
      <c r="E2" s="52"/>
      <c r="F2" s="52"/>
      <c r="G2" s="52"/>
      <c r="H2" s="52"/>
      <c r="I2" s="52"/>
    </row>
    <row r="3" spans="1:15" x14ac:dyDescent="0.35">
      <c r="A3" s="52"/>
      <c r="B3" s="52"/>
      <c r="C3" s="52"/>
      <c r="D3" s="52"/>
      <c r="E3" s="52"/>
      <c r="F3" s="52"/>
      <c r="G3" s="52"/>
      <c r="H3" s="52"/>
      <c r="I3" s="52"/>
    </row>
    <row r="5" spans="1:15" x14ac:dyDescent="0.35">
      <c r="B5" s="18" t="s">
        <v>14</v>
      </c>
      <c r="C5" s="18" t="s">
        <v>33</v>
      </c>
      <c r="D5" s="18" t="s">
        <v>34</v>
      </c>
    </row>
    <row r="6" spans="1:15" x14ac:dyDescent="0.35">
      <c r="B6" s="19" t="s">
        <v>5</v>
      </c>
      <c r="C6" s="20">
        <v>3217</v>
      </c>
      <c r="D6" s="21">
        <f>C6/$C$17</f>
        <v>5.6393807935346783E-2</v>
      </c>
    </row>
    <row r="7" spans="1:15" x14ac:dyDescent="0.35">
      <c r="B7" s="19" t="s">
        <v>12</v>
      </c>
      <c r="C7" s="20">
        <v>12000</v>
      </c>
      <c r="D7" s="21">
        <f t="shared" ref="D7:D16" si="0">C7/$C$17</f>
        <v>0.2103592462617847</v>
      </c>
      <c r="O7" s="46"/>
    </row>
    <row r="8" spans="1:15" x14ac:dyDescent="0.35">
      <c r="B8" s="19" t="s">
        <v>4</v>
      </c>
      <c r="C8" s="20">
        <v>10194.1</v>
      </c>
      <c r="D8" s="21">
        <f t="shared" si="0"/>
        <v>0.17870193269310497</v>
      </c>
    </row>
    <row r="9" spans="1:15" x14ac:dyDescent="0.35">
      <c r="B9" s="19" t="s">
        <v>7</v>
      </c>
      <c r="C9" s="20">
        <v>1857</v>
      </c>
      <c r="D9" s="21">
        <f t="shared" si="0"/>
        <v>3.255309335901118E-2</v>
      </c>
    </row>
    <row r="10" spans="1:15" x14ac:dyDescent="0.35">
      <c r="B10" s="19" t="s">
        <v>3</v>
      </c>
      <c r="C10" s="20">
        <v>7464</v>
      </c>
      <c r="D10" s="21">
        <f t="shared" si="0"/>
        <v>0.13084345117483009</v>
      </c>
    </row>
    <row r="11" spans="1:15" x14ac:dyDescent="0.35">
      <c r="B11" s="19" t="s">
        <v>8</v>
      </c>
      <c r="C11" s="20">
        <v>2586</v>
      </c>
      <c r="D11" s="21">
        <f t="shared" si="0"/>
        <v>4.5332417569414606E-2</v>
      </c>
    </row>
    <row r="12" spans="1:15" x14ac:dyDescent="0.35">
      <c r="B12" s="19" t="s">
        <v>11</v>
      </c>
      <c r="C12" s="20">
        <v>1411.26</v>
      </c>
      <c r="D12" s="21">
        <f t="shared" si="0"/>
        <v>2.4739299156617191E-2</v>
      </c>
    </row>
    <row r="13" spans="1:15" x14ac:dyDescent="0.35">
      <c r="B13" s="19" t="s">
        <v>2</v>
      </c>
      <c r="C13" s="20">
        <v>7775</v>
      </c>
      <c r="D13" s="21">
        <f t="shared" si="0"/>
        <v>0.136295261640448</v>
      </c>
    </row>
    <row r="14" spans="1:15" x14ac:dyDescent="0.35">
      <c r="B14" s="19" t="s">
        <v>10</v>
      </c>
      <c r="C14" s="20">
        <v>5688</v>
      </c>
      <c r="D14" s="21">
        <f t="shared" si="0"/>
        <v>9.971028272808595E-2</v>
      </c>
    </row>
    <row r="15" spans="1:15" x14ac:dyDescent="0.35">
      <c r="B15" s="19" t="s">
        <v>6</v>
      </c>
      <c r="C15" s="20">
        <v>3342</v>
      </c>
      <c r="D15" s="21">
        <f t="shared" si="0"/>
        <v>5.8585050083907041E-2</v>
      </c>
    </row>
    <row r="16" spans="1:15" x14ac:dyDescent="0.35">
      <c r="B16" s="19" t="s">
        <v>9</v>
      </c>
      <c r="C16" s="20">
        <v>1510.9099999999999</v>
      </c>
      <c r="D16" s="21">
        <f t="shared" si="0"/>
        <v>2.6486157397449424E-2</v>
      </c>
    </row>
    <row r="17" spans="1:7" x14ac:dyDescent="0.35">
      <c r="B17" s="17" t="s">
        <v>26</v>
      </c>
      <c r="C17">
        <f>SUM(C6:C16)</f>
        <v>57045.270000000004</v>
      </c>
    </row>
    <row r="21" spans="1:7" x14ac:dyDescent="0.35">
      <c r="A21" s="53" t="s">
        <v>40</v>
      </c>
      <c r="B21" s="53"/>
      <c r="C21" s="53"/>
      <c r="D21" s="53"/>
      <c r="E21" s="53"/>
      <c r="F21" s="53"/>
      <c r="G21" s="53"/>
    </row>
    <row r="22" spans="1:7" x14ac:dyDescent="0.35">
      <c r="B22" s="47" t="s">
        <v>36</v>
      </c>
      <c r="C22" s="47" t="s">
        <v>33</v>
      </c>
    </row>
    <row r="23" spans="1:7" x14ac:dyDescent="0.35">
      <c r="A23" s="4"/>
      <c r="B23" t="s">
        <v>37</v>
      </c>
      <c r="C23">
        <f>SUMIF(Expense!$B$1:$B$51,Sheet3!B23,Expense!$D$1:$D$51)</f>
        <v>17443.37</v>
      </c>
    </row>
    <row r="24" spans="1:7" x14ac:dyDescent="0.35">
      <c r="A24" s="6"/>
      <c r="B24" t="s">
        <v>38</v>
      </c>
      <c r="C24">
        <f>SUMIF(Expense!$B$1:$B$51,Sheet3!B24,Expense!$D$1:$D$51)</f>
        <v>18764.269999999997</v>
      </c>
    </row>
    <row r="25" spans="1:7" x14ac:dyDescent="0.35">
      <c r="A25" s="6"/>
      <c r="B25" t="s">
        <v>39</v>
      </c>
      <c r="C25">
        <f>SUMIF(Expense!$B$1:$B$51,Sheet3!B25,Expense!$D$1:$D$51)</f>
        <v>20837.63</v>
      </c>
    </row>
    <row r="26" spans="1:7" x14ac:dyDescent="0.35">
      <c r="A26" s="6"/>
    </row>
    <row r="27" spans="1:7" x14ac:dyDescent="0.35">
      <c r="A27" s="4"/>
    </row>
    <row r="28" spans="1:7" x14ac:dyDescent="0.35">
      <c r="A28" s="6"/>
    </row>
    <row r="29" spans="1:7" x14ac:dyDescent="0.35">
      <c r="A29" s="4"/>
    </row>
    <row r="30" spans="1:7" x14ac:dyDescent="0.35">
      <c r="A30" s="6"/>
    </row>
    <row r="31" spans="1:7" x14ac:dyDescent="0.35">
      <c r="A31" s="6"/>
    </row>
    <row r="32" spans="1:7" x14ac:dyDescent="0.35">
      <c r="A32" s="6"/>
    </row>
    <row r="33" spans="1:1" x14ac:dyDescent="0.35">
      <c r="A33" s="6"/>
    </row>
    <row r="34" spans="1:1" x14ac:dyDescent="0.35">
      <c r="A34" s="6"/>
    </row>
    <row r="35" spans="1:1" x14ac:dyDescent="0.35">
      <c r="A35" s="6"/>
    </row>
    <row r="36" spans="1:1" x14ac:dyDescent="0.35">
      <c r="A36" s="6"/>
    </row>
    <row r="37" spans="1:1" x14ac:dyDescent="0.35">
      <c r="A37" s="6"/>
    </row>
    <row r="38" spans="1:1" x14ac:dyDescent="0.35">
      <c r="A38" s="6"/>
    </row>
    <row r="39" spans="1:1" x14ac:dyDescent="0.35">
      <c r="A39" s="6"/>
    </row>
    <row r="40" spans="1:1" x14ac:dyDescent="0.35">
      <c r="A40" s="4"/>
    </row>
    <row r="41" spans="1:1" x14ac:dyDescent="0.35">
      <c r="A41" s="4"/>
    </row>
    <row r="42" spans="1:1" x14ac:dyDescent="0.35">
      <c r="A42" s="4"/>
    </row>
    <row r="43" spans="1:1" x14ac:dyDescent="0.35">
      <c r="A43" s="6"/>
    </row>
    <row r="44" spans="1:1" x14ac:dyDescent="0.35">
      <c r="A44" s="6"/>
    </row>
    <row r="45" spans="1:1" x14ac:dyDescent="0.35">
      <c r="A45" s="6"/>
    </row>
    <row r="46" spans="1:1" x14ac:dyDescent="0.35">
      <c r="A46" s="4"/>
    </row>
    <row r="47" spans="1:1" x14ac:dyDescent="0.35">
      <c r="A47" s="4"/>
    </row>
    <row r="48" spans="1:1" x14ac:dyDescent="0.35">
      <c r="A48" s="6"/>
    </row>
    <row r="49" spans="1:1" x14ac:dyDescent="0.35">
      <c r="A49" s="6"/>
    </row>
    <row r="50" spans="1:1" x14ac:dyDescent="0.35">
      <c r="A50" s="4"/>
    </row>
    <row r="51" spans="1:1" x14ac:dyDescent="0.35">
      <c r="A51" s="6"/>
    </row>
    <row r="52" spans="1:1" x14ac:dyDescent="0.35">
      <c r="A52" s="4"/>
    </row>
    <row r="53" spans="1:1" x14ac:dyDescent="0.35">
      <c r="A53" s="4"/>
    </row>
    <row r="54" spans="1:1" x14ac:dyDescent="0.35">
      <c r="A54" s="4"/>
    </row>
    <row r="55" spans="1:1" x14ac:dyDescent="0.35">
      <c r="A55" s="4"/>
    </row>
    <row r="56" spans="1:1" x14ac:dyDescent="0.35">
      <c r="A56" s="4"/>
    </row>
    <row r="57" spans="1:1" x14ac:dyDescent="0.35">
      <c r="A57" s="4"/>
    </row>
    <row r="58" spans="1:1" x14ac:dyDescent="0.35">
      <c r="A58" s="6"/>
    </row>
    <row r="59" spans="1:1" x14ac:dyDescent="0.35">
      <c r="A59" s="4"/>
    </row>
    <row r="60" spans="1:1" x14ac:dyDescent="0.35">
      <c r="A60" s="4"/>
    </row>
    <row r="61" spans="1:1" x14ac:dyDescent="0.35">
      <c r="A61" s="4"/>
    </row>
    <row r="62" spans="1:1" x14ac:dyDescent="0.35">
      <c r="A62" s="6"/>
    </row>
    <row r="63" spans="1:1" x14ac:dyDescent="0.35">
      <c r="A63" s="4"/>
    </row>
    <row r="64" spans="1:1" x14ac:dyDescent="0.35">
      <c r="A64" s="4"/>
    </row>
    <row r="65" spans="1:1" x14ac:dyDescent="0.35">
      <c r="A65" s="6"/>
    </row>
    <row r="66" spans="1:1" x14ac:dyDescent="0.35">
      <c r="A66" s="4"/>
    </row>
    <row r="67" spans="1:1" x14ac:dyDescent="0.35">
      <c r="A67" s="4"/>
    </row>
    <row r="68" spans="1:1" x14ac:dyDescent="0.35">
      <c r="A68" s="4"/>
    </row>
    <row r="69" spans="1:1" x14ac:dyDescent="0.35">
      <c r="A69" s="4"/>
    </row>
    <row r="70" spans="1:1" x14ac:dyDescent="0.35">
      <c r="A70" s="4"/>
    </row>
    <row r="71" spans="1:1" x14ac:dyDescent="0.35">
      <c r="A71" s="4"/>
    </row>
    <row r="72" spans="1:1" x14ac:dyDescent="0.35">
      <c r="A72" s="4"/>
    </row>
  </sheetData>
  <mergeCells count="2">
    <mergeCell ref="A1:I3"/>
    <mergeCell ref="A21:G2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Expense</vt:lpstr>
      <vt:lpstr>Tasks</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Poulomi Paul</dc:creator>
  <cp:lastModifiedBy>Nitin Kanojiya</cp:lastModifiedBy>
  <dcterms:created xsi:type="dcterms:W3CDTF">2015-06-05T18:17:20Z</dcterms:created>
  <dcterms:modified xsi:type="dcterms:W3CDTF">2026-05-20T07:18:39Z</dcterms:modified>
</cp:coreProperties>
</file>